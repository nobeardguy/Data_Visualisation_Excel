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mc:AlternateContent xmlns:mc="http://schemas.openxmlformats.org/markup-compatibility/2006">
    <mc:Choice Requires="x15">
      <x15ac:absPath xmlns:x15ac="http://schemas.microsoft.com/office/spreadsheetml/2010/11/ac" url="C:\Users\ADMIN\OneDrive\Desktop\EXCEL\"/>
    </mc:Choice>
  </mc:AlternateContent>
  <xr:revisionPtr revIDLastSave="0" documentId="13_ncr:1_{4E40112A-C422-4172-AFDB-E0370EC00C6D}" xr6:coauthVersionLast="47" xr6:coauthVersionMax="47" xr10:uidLastSave="{00000000-0000-0000-0000-000000000000}"/>
  <bookViews>
    <workbookView xWindow="-110" yWindow="-110" windowWidth="19420" windowHeight="10300" activeTab="2" xr2:uid="{035EBFA4-1DC2-4694-8E61-301CCB4CB6FF}"/>
  </bookViews>
  <sheets>
    <sheet name="RawData" sheetId="3" r:id="rId1"/>
    <sheet name="PivotTables" sheetId="4" r:id="rId2"/>
    <sheet name="Dashboard" sheetId="5" r:id="rId3"/>
  </sheets>
  <definedNames>
    <definedName name="Slicer_Item_Type">#N/A</definedName>
    <definedName name="Slicer_Region">#N/A</definedName>
    <definedName name="Slicer_Sales_Rep">#N/A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7" i="3" l="1"/>
  <c r="K14" i="3"/>
  <c r="K7" i="3"/>
  <c r="K17" i="3" s="1"/>
  <c r="K16" i="3"/>
  <c r="G2" i="3" l="1"/>
  <c r="G2" i="3"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<sst xmlns="http://schemas.openxmlformats.org/spreadsheetml/2006/main" count="141" uniqueCount="53">
  <si>
    <t>Order ID</t>
  </si>
  <si>
    <t>Order Date</t>
  </si>
  <si>
    <t>Region</t>
  </si>
  <si>
    <t>Sales Rep</t>
  </si>
  <si>
    <t>Item Type</t>
  </si>
  <si>
    <t>Units Sold</t>
  </si>
  <si>
    <t>Unit Price</t>
  </si>
  <si>
    <t>Total Revenue</t>
  </si>
  <si>
    <t>Customer Name</t>
  </si>
  <si>
    <t>Shipping Status</t>
  </si>
  <si>
    <t>Notes</t>
  </si>
  <si>
    <t>East</t>
  </si>
  <si>
    <t>Alice</t>
  </si>
  <si>
    <t>Laptop</t>
  </si>
  <si>
    <t>TechCorp</t>
  </si>
  <si>
    <t>Shipped</t>
  </si>
  <si>
    <t>Fast Delivery</t>
  </si>
  <si>
    <t>West</t>
  </si>
  <si>
    <t>Bob</t>
  </si>
  <si>
    <t>Keyboard</t>
  </si>
  <si>
    <t>Datadyne</t>
  </si>
  <si>
    <t>Pending</t>
  </si>
  <si>
    <t>Standard Ship.</t>
  </si>
  <si>
    <t>Monitor</t>
  </si>
  <si>
    <t>Central</t>
  </si>
  <si>
    <t>Charles</t>
  </si>
  <si>
    <t>Mouse</t>
  </si>
  <si>
    <t>Innovate Inc</t>
  </si>
  <si>
    <t>Delivered</t>
  </si>
  <si>
    <t>Needs Follow Up</t>
  </si>
  <si>
    <t>Error in formula</t>
  </si>
  <si>
    <t>Desk Lamp</t>
  </si>
  <si>
    <t>DataDrive</t>
  </si>
  <si>
    <t>South</t>
  </si>
  <si>
    <t>Small Item</t>
  </si>
  <si>
    <t>Large Order</t>
  </si>
  <si>
    <t>@</t>
  </si>
  <si>
    <t>NULL</t>
  </si>
  <si>
    <t>Sum of Total Revenue</t>
  </si>
  <si>
    <t>Row Labels</t>
  </si>
  <si>
    <t>Grand Total</t>
  </si>
  <si>
    <t>TOTAL REVENUE BY REGION</t>
  </si>
  <si>
    <t>Sum of Units Sold</t>
  </si>
  <si>
    <t>UNITS SOLD BY TYPE</t>
  </si>
  <si>
    <t>SALES BY SALES REPS</t>
  </si>
  <si>
    <t>Feb</t>
  </si>
  <si>
    <t>MONTHLY SALES TRENDS</t>
  </si>
  <si>
    <t>Count of Shipping Status</t>
  </si>
  <si>
    <t>SHIPPING STATUS</t>
  </si>
  <si>
    <t>Apr</t>
  </si>
  <si>
    <t>Mar</t>
  </si>
  <si>
    <t>Jan</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</si>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</sst>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8" formatCode="&quot;$&quot;#,##0.00_);[Red]\(&quot;$&quot;#,##0.00\)"/>
    <numFmt numFmtId="44" formatCode="_(&quot;$&quot;* #,##0.00_);_(&quot;$&quot;* \(#,##0.00\);_(&quot;$&quot;* &quot;-&quot;??_);_(@_)"/>
    <numFmt numFmtId="164" formatCode="_(&quot;$&quot;* #,##0_);_(&quot;$&quot;* \(#,##0\);_(&quot;$&quot;* &quot;-&quot;??_);_(@_)"/>
  </numFmts>
  <fonts count="5"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sz val="10"/>
      <color theme="1"/>
      <name val="Arial"/>
      <family val="2"/>
    </font>
  </fonts>
  <fills count="5">
    <fill>
      <patternFill patternType="none"/>
    </fill>
    <fill>
      <patternFill patternType="gray125"/>
    </fill>
    <fill>
      <patternFill patternType="solid">
        <fgColor theme="8" tint="-0.249977111117893"/>
        <bgColor indexed="64"/>
      </patternFill>
    </fill>
    <fill>
      <patternFill patternType="solid">
        <fgColor theme="7" tint="-0.249977111117893"/>
        <bgColor indexed="64"/>
      </patternFill>
    </fill>
    <fill>
      <patternFill patternType="solid">
        <fgColor theme="3" tint="-0.249977111117893"/>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2">
    <xf numFmtId="0" fontId="0" fillId="0" borderId="0"/>
    <xf numFmtId="44" fontId="1" fillId="0" borderId="0" applyFont="0" applyFill="0" applyBorder="0" applyAlignment="0" applyProtection="0"/>
  </cellStyleXfs>
  <cellXfs count="26">
    <xf numFmtId="0" fontId="0" fillId="0" borderId="0" xfId="0"/>
    <xf numFmtId="0" fontId="4" fillId="0" borderId="1" xfId="0" applyFont="1" applyBorder="1" applyAlignment="1">
      <alignment wrapText="1"/>
    </xf>
    <xf numFmtId="0" fontId="4" fillId="0" borderId="1" xfId="0" applyFont="1" applyBorder="1" applyAlignment="1">
      <alignment horizontal="right" wrapText="1"/>
    </xf>
    <xf numFmtId="14" fontId="4" fillId="0" borderId="1" xfId="0" applyNumberFormat="1" applyFont="1" applyBorder="1" applyAlignment="1">
      <alignment horizontal="right" wrapText="1"/>
    </xf>
    <xf numFmtId="8" fontId="4" fillId="0" borderId="1" xfId="0" applyNumberFormat="1" applyFont="1" applyBorder="1" applyAlignment="1">
      <alignment horizontal="right" wrapText="1"/>
    </xf>
    <xf numFmtId="0" fontId="4" fillId="0" borderId="1" xfId="0" applyFont="1" applyBorder="1" applyAlignment="1">
      <alignment vertical="center"/>
    </xf>
    <xf numFmtId="0" fontId="4" fillId="0" borderId="2" xfId="0" applyFont="1" applyBorder="1" applyAlignment="1">
      <alignment horizontal="right" wrapText="1"/>
    </xf>
    <xf numFmtId="0" fontId="4" fillId="0" borderId="3" xfId="0" applyFont="1" applyBorder="1" applyAlignment="1">
      <alignment wrapText="1"/>
    </xf>
    <xf numFmtId="0" fontId="4" fillId="0" borderId="4" xfId="0" applyFont="1" applyBorder="1" applyAlignment="1">
      <alignment wrapText="1"/>
    </xf>
    <xf numFmtId="0" fontId="4" fillId="0" borderId="5" xfId="0" applyFont="1" applyBorder="1" applyAlignment="1">
      <alignment wrapText="1"/>
    </xf>
    <xf numFmtId="0" fontId="4" fillId="0" borderId="6" xfId="0" applyFont="1" applyBorder="1" applyAlignment="1">
      <alignment wrapText="1"/>
    </xf>
    <xf numFmtId="0" fontId="4" fillId="0" borderId="7" xfId="0" applyFont="1" applyBorder="1" applyAlignment="1">
      <alignment horizontal="right" wrapText="1"/>
    </xf>
    <xf numFmtId="14" fontId="4" fillId="0" borderId="8" xfId="0" applyNumberFormat="1" applyFont="1" applyBorder="1" applyAlignment="1">
      <alignment horizontal="right" wrapText="1"/>
    </xf>
    <xf numFmtId="0" fontId="4" fillId="0" borderId="8" xfId="0" applyFont="1" applyBorder="1" applyAlignment="1">
      <alignment wrapText="1"/>
    </xf>
    <xf numFmtId="0" fontId="4" fillId="0" borderId="8" xfId="0" applyFont="1" applyBorder="1" applyAlignment="1">
      <alignment horizontal="right" wrapText="1"/>
    </xf>
    <xf numFmtId="8" fontId="4" fillId="0" borderId="8" xfId="0" applyNumberFormat="1" applyFont="1" applyBorder="1" applyAlignment="1">
      <alignment horizontal="right" wrapText="1"/>
    </xf>
    <xf numFmtId="0" fontId="4" fillId="0" borderId="9" xfId="0" applyFont="1" applyBorder="1" applyAlignment="1">
      <alignment wrapText="1"/>
    </xf>
    <xf numFmtId="8" fontId="4" fillId="0" borderId="8" xfId="1" applyNumberFormat="1" applyFont="1" applyBorder="1" applyAlignment="1">
      <alignment horizontal="right" wrapText="1"/>
    </xf>
    <xf numFmtId="8" fontId="4" fillId="0" borderId="1" xfId="0" applyNumberFormat="1" applyFont="1" applyBorder="1" applyAlignment="1">
      <alignment horizontal="center" wrapText="1"/>
    </xf>
    <xf numFmtId="0" fontId="0" fillId="0" borderId="0" xfId="0" pivotButton="1"/>
    <xf numFmtId="0" fontId="0" fillId="0" borderId="0" xfId="0" applyAlignment="1">
      <alignment horizontal="left"/>
    </xf>
    <xf numFmtId="164" fontId="0" fillId="0" borderId="0" xfId="0" applyNumberFormat="1"/>
    <xf numFmtId="0" fontId="0" fillId="3" borderId="0" xfId="0" applyFill="1"/>
    <xf numFmtId="0" fontId="0" fillId="4" borderId="0" xfId="0" applyFill="1"/>
    <xf numFmtId="0" fontId="2" fillId="2" borderId="0" xfId="0" applyFont="1" applyFill="1" applyAlignment="1">
      <alignment horizontal="center"/>
    </xf>
    <xf numFmtId="0" fontId="3" fillId="2" borderId="0" xfId="0" applyFont="1" applyFill="1" applyAlignment="1">
      <alignment horizontal="center"/>
    </xf>
  </cellXfs>
  <cellStyles count="2">
    <cellStyle name="Currency" xfId="1" builtinId="4"/>
    <cellStyle name="Normal" xfId="0" builtinId="0"/>
  </cellStyles>
  <dxfs count="41">
    <dxf>
      <font>
        <color rgb="FF9C0006"/>
      </font>
      <fill>
        <patternFill>
          <bgColor rgb="FFFFC7CE"/>
        </patternFill>
      </fill>
    </dxf>
    <dxf>
      <font>
        <color rgb="FF9C0006"/>
      </font>
      <fill>
        <patternFill>
          <bgColor rgb="FFFFC7CE"/>
        </patternFill>
      </fil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medium">
          <color rgb="FFCCCCCC"/>
        </left>
        <right/>
        <top style="medium">
          <color rgb="FFCCCCCC"/>
        </top>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numFmt numFmtId="12" formatCode="&quot;$&quot;#,##0.00_);[Red]\(&quot;$&quot;#,##0.00\)"/>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numFmt numFmtId="12" formatCode="&quot;$&quot;#,##0.00_);[Red]\(&quot;$&quot;#,##0.00\)"/>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numFmt numFmtId="12" formatCode="&quot;$&quot;#,##0.00_);[Red]\(&quot;$&quot;#,##0.00\)"/>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numFmt numFmtId="12" formatCode="&quot;$&quot;#,##0.00_);[Red]\(&quot;$&quot;#,##0.00\)"/>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numFmt numFmtId="19" formatCode="m/d/yyyy"/>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numFmt numFmtId="19" formatCode="m/d/yyyy"/>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outline="0">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
      <fill>
        <patternFill>
          <bgColor theme="8" tint="-0.499984740745262"/>
        </patternFill>
      </fill>
    </dxf>
    <dxf>
      <font>
        <sz val="16"/>
        <color theme="0"/>
      </font>
      <fill>
        <patternFill patternType="solid">
          <fgColor indexed="64"/>
          <bgColor theme="8" tint="-0.499984740745262"/>
        </patternFill>
      </fill>
    </dxf>
    <dxf>
      <fill>
        <patternFill>
          <bgColor theme="8" tint="-0.499984740745262"/>
        </patternFill>
      </fill>
    </dxf>
  </dxfs>
  <tableStyles count="3" defaultTableStyle="TableStyleMedium2" defaultPivotStyle="PivotStyleLight16">
    <tableStyle name="Best Slicer Style" pivot="0" table="0" count="2" xr9:uid="{CAE30A6B-FC9A-42E1-9D48-A7BE151F6A6E}">
      <tableStyleElement type="wholeTable" dxfId="40"/>
    </tableStyle>
    <tableStyle name="Slicer Style 1" pivot="0" table="0" count="1" xr9:uid="{B7D439FA-9B76-4A55-A81F-7AA11D68D47B}">
      <tableStyleElement type="wholeTable" dxfId="39"/>
    </tableStyle>
    <tableStyle name="Slicer Style 2" pivot="0" table="0" count="2" xr9:uid="{6FDD11A2-D2B2-4AFF-A046-799515774222}">
      <tableStyleElement type="wholeTable" dxfId="38"/>
    </tableStyle>
  </tableStyles>
  <extLst>
    <ext xmlns:x14="http://schemas.microsoft.com/office/spreadsheetml/2009/9/main" uri="{46F421CA-312F-682f-3DD2-61675219B42D}">
      <x14:dxfs count="2">
        <dxf>
          <font>
            <sz val="16"/>
          </font>
          <fill>
            <patternFill>
              <bgColor theme="8" tint="0.39994506668294322"/>
            </patternFill>
          </fill>
        </dxf>
        <dxf>
          <font>
            <sz val="16"/>
          </font>
          <fill>
            <patternFill>
              <bgColor theme="8" tint="0.39994506668294322"/>
            </patternFill>
          </fill>
        </dxf>
      </x14:dxfs>
    </ext>
    <ext xmlns:x14="http://schemas.microsoft.com/office/spreadsheetml/2009/9/main" uri="{EB79DEF2-80B8-43e5-95BD-54CBDDF9020C}">
      <x14:slicerStyles defaultSlicerStyle="Slicer Style 2">
        <x14:slicerStyle name="Best Slicer Style">
          <x14:slicerStyleElements>
            <x14:slicerStyleElement type="selectedItemWithData" dxfId="1"/>
          </x14:slicerStyleElements>
        </x14:slicerStyle>
        <x14:slicerStyle name="Slicer Style 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[AI_EXCEL_DATA.xlsx]PivotTables!PivotTable2</c:name>
    <c:fmtId val="2"/>
  </c:pivotSource>
  <c:chart>
    <c:title>
      <c:tx>
        <c:rich>
          <a:bodyPr rot="0" spcFirstLastPara="1" vertOverflow="ellipsis" vert="horz" wrap="square" anchor="ctr" anchorCtr="1"/>
          <a:lstStyle/>
          <a:p>
            <a:pPr>
              <a:defRPr sz="1400" b="0" i="0" u="none" strike="noStrike" kern="1200" spc="0" baseline="0">
                <a:solidFill>
                  <a:schemeClr val="accent5">
                    <a:lumMod val="40000"/>
                    <a:lumOff val="60000"/>
                  </a:schemeClr>
                </a:solidFill>
                <a:latin typeface="+mn-lt"/>
                <a:ea typeface="+mn-ea"/>
                <a:cs typeface="+mn-cs"/>
              </a:defRPr>
            </a:pPr>
            <a:r>
              <a:rPr lang="en-US"/>
              <a:t>UNITS SOLD BY TYPE</a:t>
            </a:r>
          </a:p>
        </c:rich>
      </c:tx>
      <c:layout>
        <c:manualLayout>
          <c:xMode val="edge"/>
          <c:yMode val="edge"/>
          <c:x val="5.2060185185185209E-2"/>
          <c:y val="2.89711919136156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40000"/>
                  <a:lumOff val="6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accent5">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94102223744804"/>
          <c:y val="0.10237272702927078"/>
          <c:w val="0.8370931642931515"/>
          <c:h val="0.85983741434050742"/>
        </c:manualLayout>
      </c:layout>
      <c:barChart>
        <c:barDir val="bar"/>
        <c:grouping val="clustered"/>
        <c:varyColors val="0"/>
        <c:ser>
          <c:idx val="0"/>
          <c:order val="0"/>
          <c:tx>
            <c:strRef>
              <c:f>PivotTables!$E$10</c:f>
              <c:strCache>
                <c:ptCount val="1"/>
                <c:pt idx="0">
                  <c:v>Total</c:v>
                </c:pt>
              </c:strCache>
            </c:strRef>
          </c:tx>
          <c:spPr>
            <a:solidFill>
              <a:schemeClr val="tx2">
                <a:lumMod val="75000"/>
              </a:schemeClr>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accent5">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PivotTables!$D$11:$D$16</c:f>
              <c:strCache>
                <c:ptCount val="5"/>
                <c:pt idx="0">
                  <c:v>Desk Lamp</c:v>
                </c:pt>
                <c:pt idx="1">
                  <c:v>Laptop</c:v>
                </c:pt>
                <c:pt idx="2">
                  <c:v>Monitor</c:v>
                </c:pt>
                <c:pt idx="3">
                  <c:v>Keyboard</c:v>
                </c:pt>
                <c:pt idx="4">
                  <c:v>Mouse</c:v>
                </c:pt>
              </c:strCache>
            </c:strRef>
          </c:cat>
          <c:val>
            <c:numRef>
              <c:f>PivotTables!$E$11:$E$16</c:f>
              <c:numCache>
                <c:formatCode>General</c:formatCode>
                <c:ptCount val="5"/>
                <c:pt idx="0">
                  <c:v>7</c:v>
                </c:pt>
                <c:pt idx="1">
                  <c:v>8</c:v>
                </c:pt>
                <c:pt idx="2">
                  <c:v>15</c:v>
                </c:pt>
                <c:pt idx="3">
                  <c:v>40</c:v>
                </c:pt>
                <c:pt idx="4">
                  <c:v>44</c:v>
                </c:pt>
              </c:numCache>
            </c:numRef>
          </c:val>
          <c:extLst>
            <c:ext xmlns:c16="http://schemas.microsoft.com/office/drawing/2014/chart" uri="{C3380CC4-5D6E-409C-BE32-E72D297353CC}">
              <c16:uniqueId val="{00000000-34A0-4756-844F-60C87AC0187E}"/>
            </c:ext>
          </c:extLst>
        </c:ser>
        <c:dLbls>
          <c:dLblPos val="outEnd"/>
          <c:showLegendKey val="0"/>
          <c:showVal val="1"/>
          <c:showCatName val="0"/>
          <c:showSerName val="0"/>
          <c:showPercent val="0"/>
          <c:showBubbleSize val="0"/>
        </c:dLbls>
        <c:gapWidth val="143"/>
        <c:axId val="1359949279"/>
        <c:axId val="1359945439"/>
      </c:barChart>
      <c:catAx>
        <c:axId val="13599492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5">
                    <a:lumMod val="40000"/>
                    <a:lumOff val="60000"/>
                  </a:schemeClr>
                </a:solidFill>
                <a:latin typeface="+mn-lt"/>
                <a:ea typeface="+mn-ea"/>
                <a:cs typeface="+mn-cs"/>
              </a:defRPr>
            </a:pPr>
            <a:endParaRPr lang="en-US"/>
          </a:p>
        </c:txPr>
        <c:crossAx val="1359945439"/>
        <c:crosses val="autoZero"/>
        <c:auto val="1"/>
        <c:lblAlgn val="ctr"/>
        <c:lblOffset val="100"/>
        <c:noMultiLvlLbl val="0"/>
      </c:catAx>
      <c:valAx>
        <c:axId val="1359945439"/>
        <c:scaling>
          <c:orientation val="minMax"/>
        </c:scaling>
        <c:delete val="1"/>
        <c:axPos val="b"/>
        <c:numFmt formatCode="General" sourceLinked="1"/>
        <c:majorTickMark val="out"/>
        <c:minorTickMark val="none"/>
        <c:tickLblPos val="nextTo"/>
        <c:crossAx val="135994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noFill/>
      <a:round/>
    </a:ln>
    <a:effectLst/>
  </c:spPr>
  <c:txPr>
    <a:bodyPr/>
    <a:lstStyle/>
    <a:p>
      <a:pPr>
        <a:defRPr>
          <a:solidFill>
            <a:schemeClr val="accent5">
              <a:lumMod val="40000"/>
              <a:lumOff val="6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[AI_EXCEL_DATA.xlsx]PivotTables!PivotTable4</c:name>
    <c:fmtId val="3"/>
  </c:pivotSource>
  <c:chart>
    <c:title>
      <c:tx>
        <c:rich>
          <a:bodyPr rot="0" spcFirstLastPara="1" vertOverflow="ellipsis" vert="horz" wrap="square" anchor="ctr" anchorCtr="1"/>
          <a:lstStyle/>
          <a:p>
            <a:pPr>
              <a:defRPr sz="1400" b="0" i="0" u="none" strike="noStrike" kern="1200" spc="0" baseline="0">
                <a:solidFill>
                  <a:schemeClr val="accent5">
                    <a:lumMod val="40000"/>
                    <a:lumOff val="60000"/>
                  </a:schemeClr>
                </a:solidFill>
                <a:latin typeface="+mn-lt"/>
                <a:ea typeface="+mn-ea"/>
                <a:cs typeface="+mn-cs"/>
              </a:defRPr>
            </a:pPr>
            <a:r>
              <a:rPr lang="en-US"/>
              <a:t>MONTHLY SALES</a:t>
            </a:r>
          </a:p>
        </c:rich>
      </c:tx>
      <c:layout>
        <c:manualLayout>
          <c:xMode val="edge"/>
          <c:yMode val="edge"/>
          <c:x val="3.2111663340325128E-2"/>
          <c:y val="2.97650174913422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40000"/>
                  <a:lumOff val="6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accent5">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21653518055289"/>
          <c:y val="0.15276316340796547"/>
          <c:w val="0.83759376505250371"/>
          <c:h val="0.74864955847956627"/>
        </c:manualLayout>
      </c:layout>
      <c:barChart>
        <c:barDir val="bar"/>
        <c:grouping val="clustered"/>
        <c:varyColors val="0"/>
        <c:ser>
          <c:idx val="0"/>
          <c:order val="0"/>
          <c:tx>
            <c:strRef>
              <c:f>PivotTables!$I$11</c:f>
              <c:strCache>
                <c:ptCount val="1"/>
                <c:pt idx="0">
                  <c:v>Total</c:v>
                </c:pt>
              </c:strCache>
            </c:strRef>
          </c:tx>
          <c:spPr>
            <a:solidFill>
              <a:schemeClr val="tx2">
                <a:lumMod val="75000"/>
              </a:schemeClr>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accent5">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PivotTables!$H$12:$H$17</c:f>
              <c:strCache>
                <c:ptCount val="5"/>
                <c:pt idx="0">
                  <c:v>Apr</c:v>
                </c:pt>
                <c:pt idx="1">
                  <c:v>Mar</c:v>
                </c:pt>
                <c:pt idx="2">
                  <c:v>Feb</c:v>
                </c:pt>
                <c:pt idx="3">
                  <c:v>Jan</c:v>
                </c:pt>
                <c:pt idx="4">
                  <c:v>May</c:v>
                </c:pt>
              </c:strCache>
            </c:strRef>
          </c:cat>
          <c:val>
            <c:numRef>
              <c:f>PivotTables!$I$12:$I$17</c:f>
              <c:numCache>
                <c:formatCode>_("$"* #,##0_);_("$"* \(#,##0\);_("$"* "-"??_);_(@_)</c:formatCode>
                <c:ptCount val="5"/>
                <c:pt idx="0">
                  <c:v>840</c:v>
                </c:pt>
                <c:pt idx="1">
                  <c:v>3400</c:v>
                </c:pt>
                <c:pt idx="2">
                  <c:v>4290</c:v>
                </c:pt>
                <c:pt idx="3">
                  <c:v>4400</c:v>
                </c:pt>
                <c:pt idx="4">
                  <c:v>4425</c:v>
                </c:pt>
              </c:numCache>
            </c:numRef>
          </c:val>
          <c:extLst>
            <c:ext xmlns:c16="http://schemas.microsoft.com/office/drawing/2014/chart" uri="{C3380CC4-5D6E-409C-BE32-E72D297353CC}">
              <c16:uniqueId val="{00000000-83CF-4F87-9200-DF1124B1ACB3}"/>
            </c:ext>
          </c:extLst>
        </c:ser>
        <c:dLbls>
          <c:dLblPos val="outEnd"/>
          <c:showLegendKey val="0"/>
          <c:showVal val="1"/>
          <c:showCatName val="0"/>
          <c:showSerName val="0"/>
          <c:showPercent val="0"/>
          <c:showBubbleSize val="0"/>
        </c:dLbls>
        <c:gapWidth val="92"/>
        <c:axId val="1359952639"/>
        <c:axId val="1359969439"/>
      </c:barChart>
      <c:catAx>
        <c:axId val="1359952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5">
                    <a:lumMod val="40000"/>
                    <a:lumOff val="60000"/>
                  </a:schemeClr>
                </a:solidFill>
                <a:latin typeface="+mn-lt"/>
                <a:ea typeface="+mn-ea"/>
                <a:cs typeface="+mn-cs"/>
              </a:defRPr>
            </a:pPr>
            <a:endParaRPr lang="en-US"/>
          </a:p>
        </c:txPr>
        <c:crossAx val="1359969439"/>
        <c:crosses val="autoZero"/>
        <c:auto val="1"/>
        <c:lblAlgn val="ctr"/>
        <c:lblOffset val="100"/>
        <c:noMultiLvlLbl val="0"/>
      </c:catAx>
      <c:valAx>
        <c:axId val="1359969439"/>
        <c:scaling>
          <c:orientation val="minMax"/>
        </c:scaling>
        <c:delete val="1"/>
        <c:axPos val="b"/>
        <c:numFmt formatCode="_(&quot;$&quot;* #,##0_);_(&quot;$&quot;* \(#,##0\);_(&quot;$&quot;* &quot;-&quot;??_);_(@_)" sourceLinked="1"/>
        <c:majorTickMark val="none"/>
        <c:minorTickMark val="none"/>
        <c:tickLblPos val="nextTo"/>
        <c:crossAx val="135995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noFill/>
      <a:round/>
    </a:ln>
    <a:effectLst/>
  </c:spPr>
  <c:txPr>
    <a:bodyPr/>
    <a:lstStyle/>
    <a:p>
      <a:pPr>
        <a:defRPr>
          <a:solidFill>
            <a:schemeClr val="accent5">
              <a:lumMod val="40000"/>
              <a:lumOff val="6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[AI_EXCEL_DATA.xlsx]PivotTables!PivotTable1</c:name>
    <c:fmtId val="5"/>
  </c:pivotSource>
  <c:chart>
    <c:title>
      <c:tx>
        <c:rich>
          <a:bodyPr rot="0" spcFirstLastPara="1" vertOverflow="ellipsis" vert="horz" wrap="square" anchor="ctr" anchorCtr="1"/>
          <a:lstStyle/>
          <a:p>
            <a:pPr>
              <a:defRPr sz="1400" b="0" i="0" u="none" strike="noStrike" kern="1200" spc="0" baseline="0">
                <a:solidFill>
                  <a:schemeClr val="accent5">
                    <a:lumMod val="40000"/>
                    <a:lumOff val="60000"/>
                  </a:schemeClr>
                </a:solidFill>
                <a:latin typeface="+mn-lt"/>
                <a:ea typeface="+mn-ea"/>
                <a:cs typeface="+mn-cs"/>
              </a:defRPr>
            </a:pPr>
            <a:r>
              <a:rPr lang="en-US"/>
              <a:t>SALES BY REGION</a:t>
            </a:r>
          </a:p>
        </c:rich>
      </c:tx>
      <c:layout>
        <c:manualLayout>
          <c:xMode val="edge"/>
          <c:yMode val="edge"/>
          <c:x val="3.1413859725867604E-2"/>
          <c:y val="3.11895437311635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40000"/>
                  <a:lumOff val="6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accent5">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966023074104591E-2"/>
          <c:y val="0.15760634890800862"/>
          <c:w val="0.89606795385179083"/>
          <c:h val="0.69667048346370608"/>
        </c:manualLayout>
      </c:layout>
      <c:barChart>
        <c:barDir val="col"/>
        <c:grouping val="clustered"/>
        <c:varyColors val="0"/>
        <c:ser>
          <c:idx val="0"/>
          <c:order val="0"/>
          <c:tx>
            <c:strRef>
              <c:f>PivotTables!$E$2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accent5">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PivotTables!$D$3:$D$7</c:f>
              <c:strCache>
                <c:ptCount val="4"/>
                <c:pt idx="0">
                  <c:v>South</c:v>
                </c:pt>
                <c:pt idx="1">
                  <c:v>Central</c:v>
                </c:pt>
                <c:pt idx="2">
                  <c:v>West</c:v>
                </c:pt>
                <c:pt idx="3">
                  <c:v>East</c:v>
                </c:pt>
              </c:strCache>
            </c:strRef>
          </c:cat>
          <c:val>
            <c:numRef>
              <c:f>PivotTables!$E$3:$E$7</c:f>
              <c:numCache>
                <c:formatCode>_("$"* #,##0_);_("$"* \(#,##0\);_("$"* "-"??_);_(@_)</c:formatCode>
                <c:ptCount val="4"/>
                <c:pt idx="0">
                  <c:v>300</c:v>
                </c:pt>
                <c:pt idx="1">
                  <c:v>2300</c:v>
                </c:pt>
                <c:pt idx="2">
                  <c:v>3615</c:v>
                </c:pt>
                <c:pt idx="3">
                  <c:v>11140</c:v>
                </c:pt>
              </c:numCache>
            </c:numRef>
          </c:val>
          <c:extLst>
            <c:ext xmlns:c16="http://schemas.microsoft.com/office/drawing/2014/chart" uri="{C3380CC4-5D6E-409C-BE32-E72D297353CC}">
              <c16:uniqueId val="{00000000-1FEB-4CB6-8C28-DF380282CD98}"/>
            </c:ext>
          </c:extLst>
        </c:ser>
        <c:dLbls>
          <c:dLblPos val="outEnd"/>
          <c:showLegendKey val="0"/>
          <c:showVal val="1"/>
          <c:showCatName val="0"/>
          <c:showSerName val="0"/>
          <c:showPercent val="0"/>
          <c:showBubbleSize val="0"/>
        </c:dLbls>
        <c:gapWidth val="119"/>
        <c:overlap val="-29"/>
        <c:axId val="382090575"/>
        <c:axId val="489242991"/>
      </c:barChart>
      <c:catAx>
        <c:axId val="38209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5">
                    <a:lumMod val="40000"/>
                    <a:lumOff val="60000"/>
                  </a:schemeClr>
                </a:solidFill>
                <a:latin typeface="+mn-lt"/>
                <a:ea typeface="+mn-ea"/>
                <a:cs typeface="+mn-cs"/>
              </a:defRPr>
            </a:pPr>
            <a:endParaRPr lang="en-US"/>
          </a:p>
        </c:txPr>
        <c:crossAx val="489242991"/>
        <c:crosses val="autoZero"/>
        <c:auto val="1"/>
        <c:lblAlgn val="ctr"/>
        <c:lblOffset val="100"/>
        <c:noMultiLvlLbl val="0"/>
      </c:catAx>
      <c:valAx>
        <c:axId val="489242991"/>
        <c:scaling>
          <c:orientation val="minMax"/>
        </c:scaling>
        <c:delete val="1"/>
        <c:axPos val="l"/>
        <c:numFmt formatCode="_(&quot;$&quot;* #,##0_);_(&quot;$&quot;* \(#,##0\);_(&quot;$&quot;* &quot;-&quot;??_);_(@_)" sourceLinked="1"/>
        <c:majorTickMark val="none"/>
        <c:minorTickMark val="none"/>
        <c:tickLblPos val="nextTo"/>
        <c:crossAx val="382090575"/>
        <c:crosses val="autoZero"/>
        <c:crossBetween val="between"/>
      </c:valAx>
      <c:spPr>
        <a:solidFill>
          <a:schemeClr val="accent5">
            <a:lumMod val="5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noFill/>
      <a:round/>
    </a:ln>
    <a:effectLst/>
  </c:spPr>
  <c:txPr>
    <a:bodyPr/>
    <a:lstStyle/>
    <a:p>
      <a:pPr>
        <a:defRPr>
          <a:solidFill>
            <a:schemeClr val="accent5">
              <a:lumMod val="40000"/>
              <a:lumOff val="6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[AI_EXCEL_DATA.xlsx]PivotTables!PivotTable3</c:name>
    <c:fmtId val="4"/>
  </c:pivotSource>
  <c:chart>
    <c:title>
      <c:tx>
        <c:rich>
          <a:bodyPr rot="0" spcFirstLastPara="1" vertOverflow="ellipsis" vert="horz" wrap="square" anchor="ctr" anchorCtr="1"/>
          <a:lstStyle/>
          <a:p>
            <a:pPr>
              <a:defRPr sz="1400" b="0" i="0" u="none" strike="noStrike" kern="1200" spc="0" baseline="0">
                <a:solidFill>
                  <a:schemeClr val="accent5">
                    <a:lumMod val="40000"/>
                    <a:lumOff val="60000"/>
                  </a:schemeClr>
                </a:solidFill>
                <a:latin typeface="+mn-lt"/>
                <a:ea typeface="+mn-ea"/>
                <a:cs typeface="+mn-cs"/>
              </a:defRPr>
            </a:pPr>
            <a:r>
              <a:rPr lang="en-US">
                <a:solidFill>
                  <a:schemeClr val="accent5">
                    <a:lumMod val="40000"/>
                    <a:lumOff val="60000"/>
                  </a:schemeClr>
                </a:solidFill>
              </a:rPr>
              <a:t>SALES</a:t>
            </a:r>
            <a:r>
              <a:rPr lang="en-US" baseline="0">
                <a:solidFill>
                  <a:schemeClr val="accent5">
                    <a:lumMod val="40000"/>
                    <a:lumOff val="60000"/>
                  </a:schemeClr>
                </a:solidFill>
              </a:rPr>
              <a:t> BY REPS</a:t>
            </a:r>
            <a:endParaRPr lang="en-US">
              <a:solidFill>
                <a:schemeClr val="accent5">
                  <a:lumMod val="40000"/>
                  <a:lumOff val="60000"/>
                </a:schemeClr>
              </a:solidFill>
            </a:endParaRPr>
          </a:p>
        </c:rich>
      </c:tx>
      <c:layout>
        <c:manualLayout>
          <c:xMode val="edge"/>
          <c:yMode val="edge"/>
          <c:x val="3.5651306331384157E-2"/>
          <c:y val="4.75019935481803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40000"/>
                  <a:lumOff val="6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8.0555555555555602E-2"/>
              <c:y val="-0.129629629629629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9999999999999895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0833333333333336"/>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9999999999999895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0833333333333336"/>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8.0555555555555602E-2"/>
              <c:y val="-0.129629629629629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0">
            <a:solidFill>
              <a:schemeClr val="lt1"/>
            </a:solidFill>
          </a:ln>
          <a:effectLst/>
        </c:spPr>
        <c:dLbl>
          <c:idx val="0"/>
          <c:layout>
            <c:manualLayout>
              <c:x val="0.10712082966888618"/>
              <c:y val="5.50735853663014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0">
            <a:solidFill>
              <a:schemeClr val="lt1"/>
            </a:solidFill>
          </a:ln>
          <a:effectLst/>
        </c:spPr>
        <c:dLbl>
          <c:idx val="0"/>
          <c:layout>
            <c:manualLayout>
              <c:x val="-0.15257425026364982"/>
              <c:y val="1.34508105917226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0">
            <a:solidFill>
              <a:schemeClr val="lt1"/>
            </a:solidFill>
          </a:ln>
          <a:effectLst/>
        </c:spPr>
        <c:dLbl>
          <c:idx val="0"/>
          <c:layout>
            <c:manualLayout>
              <c:x val="-2.3330059126091287E-2"/>
              <c:y val="-0.107777178573638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B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5">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50000"/>
            </a:schemeClr>
          </a:solidFill>
          <a:ln w="19050">
            <a:solidFill>
              <a:schemeClr val="lt1"/>
            </a:solidFill>
          </a:ln>
          <a:effectLst/>
        </c:spPr>
        <c:dLbl>
          <c:idx val="0"/>
          <c:layout>
            <c:manualLayout>
              <c:x val="-0.15486066065641549"/>
              <c:y val="-6.355482669659659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5">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bg2">
              <a:lumMod val="50000"/>
            </a:schemeClr>
          </a:solidFill>
          <a:ln w="19050">
            <a:solidFill>
              <a:schemeClr val="lt1"/>
            </a:solidFill>
          </a:ln>
          <a:effectLst/>
        </c:spPr>
        <c:dLbl>
          <c:idx val="0"/>
          <c:layout>
            <c:manualLayout>
              <c:x val="0.16387223150468513"/>
              <c:y val="-5.076879102487440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5">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7030A0"/>
          </a:solidFill>
          <a:ln w="19050">
            <a:solidFill>
              <a:schemeClr val="lt1"/>
            </a:solidFill>
          </a:ln>
          <a:effectLst/>
        </c:spPr>
        <c:dLbl>
          <c:idx val="0"/>
          <c:layout>
            <c:manualLayout>
              <c:x val="0.24163438437471127"/>
              <c:y val="1.445151386378961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5">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01618827698336"/>
          <c:y val="0.16261168836576986"/>
          <c:w val="0.52606631372852897"/>
          <c:h val="0.85251315652106141"/>
        </c:manualLayout>
      </c:layout>
      <c:doughnutChart>
        <c:varyColors val="1"/>
        <c:ser>
          <c:idx val="0"/>
          <c:order val="0"/>
          <c:tx>
            <c:strRef>
              <c:f>PivotTables!$I$3</c:f>
              <c:strCache>
                <c:ptCount val="1"/>
                <c:pt idx="0">
                  <c:v>Total</c:v>
                </c:pt>
              </c:strCache>
            </c:strRef>
          </c:tx>
          <c:spPr>
            <a:solidFill>
              <a:srgbClr val="00B050"/>
            </a:solidFill>
          </c:spPr>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C49A-4580-9A18-5DBD22D8B6DF}"/>
              </c:ext>
            </c:extLst>
          </c:dPt>
          <c:dPt>
            <c:idx val="1"/>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3-C49A-4580-9A18-5DBD22D8B6DF}"/>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5-C49A-4580-9A18-5DBD22D8B6DF}"/>
              </c:ext>
            </c:extLst>
          </c:dPt>
          <c:dLbls>
            <c:dLbl>
              <c:idx val="0"/>
              <c:layout>
                <c:manualLayout>
                  <c:x val="-0.15486066065641549"/>
                  <c:y val="-6.35548266965965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9A-4580-9A18-5DBD22D8B6DF}"/>
                </c:ext>
              </c:extLst>
            </c:dLbl>
            <c:dLbl>
              <c:idx val="1"/>
              <c:layout>
                <c:manualLayout>
                  <c:x val="0.16387223150468513"/>
                  <c:y val="-5.076879102487440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5">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9A-4580-9A18-5DBD22D8B6DF}"/>
                </c:ext>
              </c:extLst>
            </c:dLbl>
            <c:dLbl>
              <c:idx val="2"/>
              <c:layout>
                <c:manualLayout>
                  <c:x val="0.24163438437471127"/>
                  <c:y val="1.44515138637896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9A-4580-9A18-5DBD22D8B6DF}"/>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5">
                        <a:lumMod val="40000"/>
                        <a:lumOff val="6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PivotTables!$H$4:$H$7</c:f>
              <c:strCache>
                <c:ptCount val="3"/>
                <c:pt idx="0">
                  <c:v>Alice</c:v>
                </c:pt>
                <c:pt idx="1">
                  <c:v>Bob</c:v>
                </c:pt>
                <c:pt idx="2">
                  <c:v>Charles</c:v>
                </c:pt>
              </c:strCache>
            </c:strRef>
          </c:cat>
          <c:val>
            <c:numRef>
              <c:f>PivotTables!$I$4:$I$7</c:f>
              <c:numCache>
                <c:formatCode>_("$"* #,##0_);_("$"* \(#,##0\);_("$"* "-"??_);_(@_)</c:formatCode>
                <c:ptCount val="3"/>
                <c:pt idx="0">
                  <c:v>11140</c:v>
                </c:pt>
                <c:pt idx="1">
                  <c:v>4115</c:v>
                </c:pt>
                <c:pt idx="2">
                  <c:v>2100</c:v>
                </c:pt>
              </c:numCache>
            </c:numRef>
          </c:val>
          <c:extLst>
            <c:ext xmlns:c16="http://schemas.microsoft.com/office/drawing/2014/chart" uri="{C3380CC4-5D6E-409C-BE32-E72D297353CC}">
              <c16:uniqueId val="{00000006-C49A-4580-9A18-5DBD22D8B6DF}"/>
            </c:ext>
          </c:extLst>
        </c:ser>
        <c:dLbls>
          <c:showLegendKey val="0"/>
          <c:showVal val="1"/>
          <c:showCatName val="0"/>
          <c:showSerName val="0"/>
          <c:showPercent val="0"/>
          <c:showBubbleSize val="0"/>
          <c:showLeaderLines val="1"/>
        </c:dLbls>
        <c:firstSliceAng val="183"/>
        <c:holeSize val="67"/>
      </c:doughnutChart>
      <c:spPr>
        <a:noFill/>
        <a:ln w="0">
          <a:noFill/>
        </a:ln>
        <a:effectLst/>
      </c:spPr>
    </c:plotArea>
    <c:legend>
      <c:legendPos val="r"/>
      <c:legendEntry>
        <c:idx val="0"/>
        <c:txPr>
          <a:bodyPr rot="0" spcFirstLastPara="1" vertOverflow="ellipsis" vert="horz" wrap="square" anchor="ctr" anchorCtr="1"/>
          <a:lstStyle/>
          <a:p>
            <a:pPr>
              <a:defRPr sz="1200" b="1" i="0" u="none" strike="noStrike" kern="1200" baseline="0">
                <a:solidFill>
                  <a:schemeClr val="accent5">
                    <a:lumMod val="40000"/>
                    <a:lumOff val="60000"/>
                  </a:schemeClr>
                </a:solidFill>
                <a:latin typeface="+mn-lt"/>
                <a:ea typeface="+mn-ea"/>
                <a:cs typeface="+mn-cs"/>
              </a:defRPr>
            </a:pPr>
            <a:endParaRPr lang="en-US"/>
          </a:p>
        </c:txPr>
      </c:legendEntry>
      <c:layout>
        <c:manualLayout>
          <c:xMode val="edge"/>
          <c:yMode val="edge"/>
          <c:x val="0.78480157852012111"/>
          <c:y val="4.5831011306006197E-2"/>
          <c:w val="0.20174613004667089"/>
          <c:h val="0.8333698478580637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[AI_EXCEL_DATA.xlsx]PivotTables!PivotTable5</c:name>
    <c:fmtId val="7"/>
  </c:pivotSource>
  <c:chart>
    <c:title>
      <c:tx>
        <c:rich>
          <a:bodyPr rot="0" spcFirstLastPara="1" vertOverflow="ellipsis" vert="horz" wrap="square" anchor="ctr" anchorCtr="1"/>
          <a:lstStyle/>
          <a:p>
            <a:pPr>
              <a:defRPr sz="1400" b="0" i="0" u="none" strike="noStrike" kern="1200" spc="0" baseline="0">
                <a:solidFill>
                  <a:schemeClr val="accent5">
                    <a:lumMod val="40000"/>
                    <a:lumOff val="60000"/>
                  </a:schemeClr>
                </a:solidFill>
                <a:latin typeface="+mn-lt"/>
                <a:ea typeface="+mn-ea"/>
                <a:cs typeface="+mn-cs"/>
              </a:defRPr>
            </a:pPr>
            <a:r>
              <a:rPr lang="en-US">
                <a:solidFill>
                  <a:schemeClr val="accent5">
                    <a:lumMod val="40000"/>
                    <a:lumOff val="60000"/>
                  </a:schemeClr>
                </a:solidFill>
              </a:rPr>
              <a:t>SHIPPING</a:t>
            </a:r>
            <a:r>
              <a:rPr lang="en-US" baseline="0">
                <a:solidFill>
                  <a:schemeClr val="accent5">
                    <a:lumMod val="40000"/>
                    <a:lumOff val="60000"/>
                  </a:schemeClr>
                </a:solidFill>
              </a:rPr>
              <a:t> STATUS</a:t>
            </a:r>
            <a:endParaRPr lang="en-US">
              <a:solidFill>
                <a:schemeClr val="accent5">
                  <a:lumMod val="40000"/>
                  <a:lumOff val="60000"/>
                </a:schemeClr>
              </a:solidFill>
            </a:endParaRPr>
          </a:p>
        </c:rich>
      </c:tx>
      <c:layout>
        <c:manualLayout>
          <c:xMode val="edge"/>
          <c:yMode val="edge"/>
          <c:x val="3.4555446194225743E-2"/>
          <c:y val="4.6745806454544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40000"/>
                  <a:lumOff val="6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5">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5">
                      <a:lumMod val="40000"/>
                      <a:lumOff val="6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71892947862695E-2"/>
          <c:y val="0.14190856109784428"/>
          <c:w val="0.93888877161132334"/>
          <c:h val="0.65237693082092063"/>
        </c:manualLayout>
      </c:layout>
      <c:lineChart>
        <c:grouping val="standard"/>
        <c:varyColors val="0"/>
        <c:ser>
          <c:idx val="0"/>
          <c:order val="0"/>
          <c:tx>
            <c:strRef>
              <c:f>PivotTables!$M$3</c:f>
              <c:strCache>
                <c:ptCount val="1"/>
                <c:pt idx="0">
                  <c:v>Total</c:v>
                </c:pt>
              </c:strCache>
            </c:strRef>
          </c:tx>
          <c:spPr>
            <a:ln w="28575" cap="rnd">
              <a:solidFill>
                <a:schemeClr val="accent5">
                  <a:lumMod val="40000"/>
                  <a:lumOff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5">
                        <a:lumMod val="40000"/>
                        <a:lumOff val="6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PivotTables!$L$4:$L$7</c:f>
              <c:strCache>
                <c:ptCount val="3"/>
                <c:pt idx="0">
                  <c:v>Pending</c:v>
                </c:pt>
                <c:pt idx="1">
                  <c:v>Delivered</c:v>
                </c:pt>
                <c:pt idx="2">
                  <c:v>Shipped</c:v>
                </c:pt>
              </c:strCache>
            </c:strRef>
          </c:cat>
          <c:val>
            <c:numRef>
              <c:f>PivotTables!$M$4:$M$7</c:f>
              <c:numCache>
                <c:formatCode>General</c:formatCode>
                <c:ptCount val="3"/>
                <c:pt idx="0">
                  <c:v>3</c:v>
                </c:pt>
                <c:pt idx="1">
                  <c:v>4</c:v>
                </c:pt>
                <c:pt idx="2">
                  <c:v>8</c:v>
                </c:pt>
              </c:numCache>
            </c:numRef>
          </c:val>
          <c:smooth val="0"/>
          <c:extLst>
            <c:ext xmlns:c16="http://schemas.microsoft.com/office/drawing/2014/chart" uri="{C3380CC4-5D6E-409C-BE32-E72D297353CC}">
              <c16:uniqueId val="{00000000-2A2D-4D9B-8073-371182EB369F}"/>
            </c:ext>
          </c:extLst>
        </c:ser>
        <c:dLbls>
          <c:dLblPos val="t"/>
          <c:showLegendKey val="0"/>
          <c:showVal val="1"/>
          <c:showCatName val="0"/>
          <c:showSerName val="0"/>
          <c:showPercent val="0"/>
          <c:showBubbleSize val="0"/>
        </c:dLbls>
        <c:smooth val="0"/>
        <c:axId val="1594096335"/>
        <c:axId val="1594092015"/>
      </c:lineChart>
      <c:catAx>
        <c:axId val="15940963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5">
                    <a:lumMod val="40000"/>
                    <a:lumOff val="60000"/>
                  </a:schemeClr>
                </a:solidFill>
                <a:latin typeface="+mn-lt"/>
                <a:ea typeface="+mn-ea"/>
                <a:cs typeface="+mn-cs"/>
              </a:defRPr>
            </a:pPr>
            <a:endParaRPr lang="en-US"/>
          </a:p>
        </c:txPr>
        <c:crossAx val="1594092015"/>
        <c:crosses val="autoZero"/>
        <c:auto val="1"/>
        <c:lblAlgn val="ctr"/>
        <c:lblOffset val="100"/>
        <c:noMultiLvlLbl val="0"/>
      </c:catAx>
      <c:valAx>
        <c:axId val="1594092015"/>
        <c:scaling>
          <c:orientation val="minMax"/>
        </c:scaling>
        <c:delete val="1"/>
        <c:axPos val="l"/>
        <c:numFmt formatCode="General" sourceLinked="1"/>
        <c:majorTickMark val="out"/>
        <c:minorTickMark val="none"/>
        <c:tickLblPos val="nextTo"/>
        <c:crossAx val="1594096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hyperlink" Target="#PivotTables!A1"/><Relationship Id="rId1" Type="http://schemas.openxmlformats.org/officeDocument/2006/relationships/hyperlink" Target="#RawData!A1"/></Relationships>
</file>

<file path=xl/drawings/_rels/drawing2.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hyperlink" Target="#PivotTables!A1"/><Relationship Id="rId1" Type="http://schemas.openxmlformats.org/officeDocument/2006/relationships/hyperlink" Target="#RawData!A1"/></Relationships>
</file>

<file path=xl/drawings/_rels/drawing3.xml.rels><?xml version="1.0" encoding="UTF-8" standalone="yes"?>
<Relationships xmlns="http://schemas.openxmlformats.org/package/2006/relationships"><Relationship Id="rId8" Type="http://schemas.openxmlformats.org/officeDocument/2006/relationships/hyperlink" Target="#Dashboard!A1"/><Relationship Id="rId3" Type="http://schemas.openxmlformats.org/officeDocument/2006/relationships/chart" Target="../charts/chart3.xml"/><Relationship Id="rId7" Type="http://schemas.openxmlformats.org/officeDocument/2006/relationships/hyperlink" Target="#PivotTables!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RawData!A1"/><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31128</xdr:colOff>
      <xdr:row>1</xdr:row>
      <xdr:rowOff>6226</xdr:rowOff>
    </xdr:from>
    <xdr:to>
      <xdr:col>2</xdr:col>
      <xdr:colOff>373530</xdr:colOff>
      <xdr:row>14</xdr:row>
      <xdr:rowOff>0</xdr:rowOff>
    </xdr:to>
    <xdr:sp macro="" textlink="">
      <xdr:nvSpPr>
        <xdr:cNvPr id="2" name="Rectangle: Rounded Corners 1">
          <a:extLst>
            <a:ext uri="{FF2B5EF4-FFF2-40B4-BE49-F238E27FC236}">
              <a16:creationId xmlns:a16="http://schemas.microsoft.com/office/drawing/2014/main" id="{67C4AED0-981F-7DB0-619F-A3769B27C199}"/>
            </a:ext>
          </a:extLst>
        </xdr:cNvPr>
        <xdr:cNvSpPr/>
      </xdr:nvSpPr>
      <xdr:spPr>
        <a:xfrm>
          <a:off x="640728" y="196726"/>
          <a:ext cx="952002" cy="3200524"/>
        </a:xfrm>
        <a:prstGeom prst="roundRect">
          <a:avLst>
            <a:gd name="adj" fmla="val 4661"/>
          </a:avLst>
        </a:prstGeom>
        <a:solidFill>
          <a:schemeClr val="tx2">
            <a:lumMod val="75000"/>
          </a:schemeClr>
        </a:solidFill>
        <a:ln>
          <a:solidFill>
            <a:schemeClr val="tx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31127</xdr:colOff>
      <xdr:row>1</xdr:row>
      <xdr:rowOff>311274</xdr:rowOff>
    </xdr:from>
    <xdr:to>
      <xdr:col>2</xdr:col>
      <xdr:colOff>249020</xdr:colOff>
      <xdr:row>2</xdr:row>
      <xdr:rowOff>224116</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464E3B20-1F61-32EC-2B04-233120F7C835}"/>
            </a:ext>
          </a:extLst>
        </xdr:cNvPr>
        <xdr:cNvSpPr/>
      </xdr:nvSpPr>
      <xdr:spPr>
        <a:xfrm>
          <a:off x="31127" y="504264"/>
          <a:ext cx="827991" cy="249019"/>
        </a:xfrm>
        <a:prstGeom prst="rect">
          <a:avLst/>
        </a:prstGeom>
        <a:solidFill>
          <a:schemeClr val="accent5">
            <a:lumMod val="75000"/>
          </a:schemeClr>
        </a:solidFill>
        <a:ln>
          <a:no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a:t>Raw</a:t>
          </a:r>
          <a:r>
            <a:rPr lang="en-US" sz="1050" baseline="0"/>
            <a:t> Data</a:t>
          </a:r>
          <a:endParaRPr lang="en-US" sz="1050"/>
        </a:p>
      </xdr:txBody>
    </xdr:sp>
    <xdr:clientData/>
  </xdr:twoCellAnchor>
  <xdr:twoCellAnchor>
    <xdr:from>
      <xdr:col>1</xdr:col>
      <xdr:colOff>31128</xdr:colOff>
      <xdr:row>4</xdr:row>
      <xdr:rowOff>189878</xdr:rowOff>
    </xdr:from>
    <xdr:to>
      <xdr:col>2</xdr:col>
      <xdr:colOff>267695</xdr:colOff>
      <xdr:row>5</xdr:row>
      <xdr:rowOff>189877</xdr:rowOff>
    </xdr:to>
    <xdr:sp macro="" textlink="">
      <xdr:nvSpPr>
        <xdr:cNvPr id="8" name="Rectangle 7">
          <a:hlinkClick xmlns:r="http://schemas.openxmlformats.org/officeDocument/2006/relationships" r:id="rId2"/>
          <a:extLst>
            <a:ext uri="{FF2B5EF4-FFF2-40B4-BE49-F238E27FC236}">
              <a16:creationId xmlns:a16="http://schemas.microsoft.com/office/drawing/2014/main" id="{C75162CC-B345-E649-3BBB-9D97694281E0}"/>
            </a:ext>
          </a:extLst>
        </xdr:cNvPr>
        <xdr:cNvSpPr/>
      </xdr:nvSpPr>
      <xdr:spPr>
        <a:xfrm>
          <a:off x="31128" y="1248211"/>
          <a:ext cx="846665" cy="192990"/>
        </a:xfrm>
        <a:prstGeom prst="rect">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a:t>PivotTables</a:t>
          </a:r>
        </a:p>
      </xdr:txBody>
    </xdr:sp>
    <xdr:clientData/>
  </xdr:twoCellAnchor>
  <xdr:twoCellAnchor>
    <xdr:from>
      <xdr:col>1</xdr:col>
      <xdr:colOff>31128</xdr:colOff>
      <xdr:row>7</xdr:row>
      <xdr:rowOff>230343</xdr:rowOff>
    </xdr:from>
    <xdr:to>
      <xdr:col>2</xdr:col>
      <xdr:colOff>224118</xdr:colOff>
      <xdr:row>8</xdr:row>
      <xdr:rowOff>93382</xdr:rowOff>
    </xdr:to>
    <xdr:sp macro="" textlink="">
      <xdr:nvSpPr>
        <xdr:cNvPr id="9" name="Rectangle 8">
          <a:hlinkClick xmlns:r="http://schemas.openxmlformats.org/officeDocument/2006/relationships" r:id="rId3"/>
          <a:extLst>
            <a:ext uri="{FF2B5EF4-FFF2-40B4-BE49-F238E27FC236}">
              <a16:creationId xmlns:a16="http://schemas.microsoft.com/office/drawing/2014/main" id="{F9F53F38-F2BE-C38D-39EE-5AD87EA6C78B}"/>
            </a:ext>
          </a:extLst>
        </xdr:cNvPr>
        <xdr:cNvSpPr/>
      </xdr:nvSpPr>
      <xdr:spPr>
        <a:xfrm>
          <a:off x="31128" y="2010833"/>
          <a:ext cx="803088" cy="199216"/>
        </a:xfrm>
        <a:prstGeom prst="rect">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a:t>Dashboard</a:t>
          </a:r>
        </a:p>
      </xdr:txBody>
    </xdr:sp>
    <xdr:clientData/>
  </xdr:twoCellAnchor>
  <xdr:twoCellAnchor>
    <xdr:from>
      <xdr:col>2</xdr:col>
      <xdr:colOff>236569</xdr:colOff>
      <xdr:row>1</xdr:row>
      <xdr:rowOff>0</xdr:rowOff>
    </xdr:from>
    <xdr:to>
      <xdr:col>2</xdr:col>
      <xdr:colOff>516716</xdr:colOff>
      <xdr:row>14</xdr:row>
      <xdr:rowOff>6225</xdr:rowOff>
    </xdr:to>
    <xdr:sp macro="" textlink="">
      <xdr:nvSpPr>
        <xdr:cNvPr id="11" name="Rectangle: Rounded Corners 10">
          <a:extLst>
            <a:ext uri="{FF2B5EF4-FFF2-40B4-BE49-F238E27FC236}">
              <a16:creationId xmlns:a16="http://schemas.microsoft.com/office/drawing/2014/main" id="{4E4012B6-0520-10A9-2509-AE292B682ED2}"/>
            </a:ext>
          </a:extLst>
        </xdr:cNvPr>
        <xdr:cNvSpPr/>
      </xdr:nvSpPr>
      <xdr:spPr>
        <a:xfrm>
          <a:off x="1455769" y="190500"/>
          <a:ext cx="280147" cy="3212975"/>
        </a:xfrm>
        <a:prstGeom prst="roundRect">
          <a:avLst>
            <a:gd name="adj" fmla="val 16667"/>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31128</xdr:colOff>
      <xdr:row>1</xdr:row>
      <xdr:rowOff>6226</xdr:rowOff>
    </xdr:from>
    <xdr:to>
      <xdr:col>2</xdr:col>
      <xdr:colOff>373530</xdr:colOff>
      <xdr:row>14</xdr:row>
      <xdr:rowOff>0</xdr:rowOff>
    </xdr:to>
    <xdr:sp macro="" textlink="">
      <xdr:nvSpPr>
        <xdr:cNvPr id="2" name="Rectangle: Rounded Corners 1">
          <a:extLst>
            <a:ext uri="{FF2B5EF4-FFF2-40B4-BE49-F238E27FC236}">
              <a16:creationId xmlns:a16="http://schemas.microsoft.com/office/drawing/2014/main" id="{D10E921F-68A6-4F16-8359-C79A86E3E939}"/>
            </a:ext>
          </a:extLst>
        </xdr:cNvPr>
        <xdr:cNvSpPr/>
      </xdr:nvSpPr>
      <xdr:spPr>
        <a:xfrm>
          <a:off x="640728" y="190376"/>
          <a:ext cx="952002" cy="2387724"/>
        </a:xfrm>
        <a:prstGeom prst="roundRect">
          <a:avLst>
            <a:gd name="adj" fmla="val 0"/>
          </a:avLst>
        </a:prstGeom>
        <a:solidFill>
          <a:schemeClr val="tx2">
            <a:lumMod val="75000"/>
          </a:schemeClr>
        </a:solidFill>
        <a:ln>
          <a:solidFill>
            <a:schemeClr val="tx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31128</xdr:colOff>
      <xdr:row>2</xdr:row>
      <xdr:rowOff>2846</xdr:rowOff>
    </xdr:from>
    <xdr:to>
      <xdr:col>2</xdr:col>
      <xdr:colOff>143186</xdr:colOff>
      <xdr:row>3</xdr:row>
      <xdr:rowOff>68034</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FC13A689-39F6-4176-997E-A99A6567737B}"/>
            </a:ext>
          </a:extLst>
        </xdr:cNvPr>
        <xdr:cNvSpPr/>
      </xdr:nvSpPr>
      <xdr:spPr>
        <a:xfrm>
          <a:off x="640728" y="371146"/>
          <a:ext cx="721658" cy="249338"/>
        </a:xfrm>
        <a:prstGeom prst="rect">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a:t>Raw</a:t>
          </a:r>
          <a:r>
            <a:rPr lang="en-US" sz="1050" baseline="0"/>
            <a:t> Data</a:t>
          </a:r>
          <a:endParaRPr lang="en-US" sz="1050"/>
        </a:p>
      </xdr:txBody>
    </xdr:sp>
    <xdr:clientData/>
  </xdr:twoCellAnchor>
  <xdr:twoCellAnchor>
    <xdr:from>
      <xdr:col>1</xdr:col>
      <xdr:colOff>34228</xdr:colOff>
      <xdr:row>6</xdr:row>
      <xdr:rowOff>69074</xdr:rowOff>
    </xdr:from>
    <xdr:to>
      <xdr:col>2</xdr:col>
      <xdr:colOff>247959</xdr:colOff>
      <xdr:row>7</xdr:row>
      <xdr:rowOff>133349</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187C1203-1D70-4586-A733-C38B84442D0D}"/>
            </a:ext>
          </a:extLst>
        </xdr:cNvPr>
        <xdr:cNvSpPr/>
      </xdr:nvSpPr>
      <xdr:spPr>
        <a:xfrm>
          <a:off x="643828" y="1173974"/>
          <a:ext cx="823331" cy="248425"/>
        </a:xfrm>
        <a:prstGeom prst="rect">
          <a:avLst/>
        </a:prstGeom>
        <a:solidFill>
          <a:schemeClr val="accent5">
            <a:lumMod val="75000"/>
          </a:schemeClr>
        </a:solidFill>
        <a:ln>
          <a:no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a:t>PivotTables</a:t>
          </a:r>
        </a:p>
      </xdr:txBody>
    </xdr:sp>
    <xdr:clientData/>
  </xdr:twoCellAnchor>
  <xdr:twoCellAnchor>
    <xdr:from>
      <xdr:col>1</xdr:col>
      <xdr:colOff>31128</xdr:colOff>
      <xdr:row>9</xdr:row>
      <xdr:rowOff>175913</xdr:rowOff>
    </xdr:from>
    <xdr:to>
      <xdr:col>2</xdr:col>
      <xdr:colOff>224118</xdr:colOff>
      <xdr:row>11</xdr:row>
      <xdr:rowOff>62894</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B29485EB-4AC2-4A4F-91DB-0658625EF2E0}"/>
            </a:ext>
          </a:extLst>
        </xdr:cNvPr>
        <xdr:cNvSpPr/>
      </xdr:nvSpPr>
      <xdr:spPr>
        <a:xfrm>
          <a:off x="640728" y="1833263"/>
          <a:ext cx="802590" cy="255281"/>
        </a:xfrm>
        <a:prstGeom prst="rect">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a:t>Dashboard</a:t>
          </a:r>
        </a:p>
      </xdr:txBody>
    </xdr:sp>
    <xdr:clientData/>
  </xdr:twoCellAnchor>
  <xdr:twoCellAnchor>
    <xdr:from>
      <xdr:col>2</xdr:col>
      <xdr:colOff>230219</xdr:colOff>
      <xdr:row>1</xdr:row>
      <xdr:rowOff>0</xdr:rowOff>
    </xdr:from>
    <xdr:to>
      <xdr:col>2</xdr:col>
      <xdr:colOff>510366</xdr:colOff>
      <xdr:row>14</xdr:row>
      <xdr:rowOff>5210</xdr:rowOff>
    </xdr:to>
    <xdr:sp macro="" textlink="">
      <xdr:nvSpPr>
        <xdr:cNvPr id="6" name="Rectangle: Rounded Corners 5">
          <a:extLst>
            <a:ext uri="{FF2B5EF4-FFF2-40B4-BE49-F238E27FC236}">
              <a16:creationId xmlns:a16="http://schemas.microsoft.com/office/drawing/2014/main" id="{E03F0414-5088-4016-B9F4-DF26D73567E9}"/>
            </a:ext>
          </a:extLst>
        </xdr:cNvPr>
        <xdr:cNvSpPr/>
      </xdr:nvSpPr>
      <xdr:spPr>
        <a:xfrm>
          <a:off x="1449419" y="184150"/>
          <a:ext cx="280147" cy="2399160"/>
        </a:xfrm>
        <a:prstGeom prst="roundRect">
          <a:avLst>
            <a:gd name="adj" fmla="val 16667"/>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260803</xdr:colOff>
      <xdr:row>4</xdr:row>
      <xdr:rowOff>158751</xdr:rowOff>
    </xdr:from>
    <xdr:to>
      <xdr:col>16</xdr:col>
      <xdr:colOff>249464</xdr:colOff>
      <xdr:row>27</xdr:row>
      <xdr:rowOff>124733</xdr:rowOff>
    </xdr:to>
    <xdr:sp macro="" textlink="">
      <xdr:nvSpPr>
        <xdr:cNvPr id="29" name="Rectangle 28">
          <a:extLst>
            <a:ext uri="{FF2B5EF4-FFF2-40B4-BE49-F238E27FC236}">
              <a16:creationId xmlns:a16="http://schemas.microsoft.com/office/drawing/2014/main" id="{1C98BB2E-A688-B9F2-B7A4-48ACF6ECD86C}"/>
            </a:ext>
          </a:extLst>
        </xdr:cNvPr>
        <xdr:cNvSpPr/>
      </xdr:nvSpPr>
      <xdr:spPr>
        <a:xfrm>
          <a:off x="1485446" y="884465"/>
          <a:ext cx="5499554" cy="4138839"/>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385535</xdr:colOff>
      <xdr:row>3</xdr:row>
      <xdr:rowOff>22678</xdr:rowOff>
    </xdr:from>
    <xdr:to>
      <xdr:col>26</xdr:col>
      <xdr:colOff>187613</xdr:colOff>
      <xdr:row>8</xdr:row>
      <xdr:rowOff>86172</xdr:rowOff>
    </xdr:to>
    <xdr:sp macro="" textlink="">
      <xdr:nvSpPr>
        <xdr:cNvPr id="3" name="Rectangle: Rounded Corners 2">
          <a:extLst>
            <a:ext uri="{FF2B5EF4-FFF2-40B4-BE49-F238E27FC236}">
              <a16:creationId xmlns:a16="http://schemas.microsoft.com/office/drawing/2014/main" id="{0C4757B9-B560-1B22-8764-D0376B5E7DFC}"/>
            </a:ext>
          </a:extLst>
        </xdr:cNvPr>
        <xdr:cNvSpPr/>
      </xdr:nvSpPr>
      <xdr:spPr>
        <a:xfrm>
          <a:off x="7121071" y="566964"/>
          <a:ext cx="5925292" cy="970637"/>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331932</xdr:colOff>
      <xdr:row>3</xdr:row>
      <xdr:rowOff>21861</xdr:rowOff>
    </xdr:from>
    <xdr:to>
      <xdr:col>35</xdr:col>
      <xdr:colOff>360795</xdr:colOff>
      <xdr:row>8</xdr:row>
      <xdr:rowOff>72159</xdr:rowOff>
    </xdr:to>
    <xdr:sp macro="" textlink="">
      <xdr:nvSpPr>
        <xdr:cNvPr id="5" name="Rectangle: Rounded Corners 4">
          <a:extLst>
            <a:ext uri="{FF2B5EF4-FFF2-40B4-BE49-F238E27FC236}">
              <a16:creationId xmlns:a16="http://schemas.microsoft.com/office/drawing/2014/main" id="{C3EED3D3-A822-EF5E-5C99-D44FA263BC50}"/>
            </a:ext>
          </a:extLst>
        </xdr:cNvPr>
        <xdr:cNvSpPr/>
      </xdr:nvSpPr>
      <xdr:spPr>
        <a:xfrm>
          <a:off x="13060796" y="584702"/>
          <a:ext cx="5484090" cy="988366"/>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243137</xdr:colOff>
      <xdr:row>3</xdr:row>
      <xdr:rowOff>147410</xdr:rowOff>
    </xdr:from>
    <xdr:to>
      <xdr:col>21</xdr:col>
      <xdr:colOff>30824</xdr:colOff>
      <xdr:row>8</xdr:row>
      <xdr:rowOff>49689</xdr:rowOff>
    </xdr:to>
    <xdr:sp macro="" textlink="">
      <xdr:nvSpPr>
        <xdr:cNvPr id="6" name="TextBox 5">
          <a:extLst>
            <a:ext uri="{FF2B5EF4-FFF2-40B4-BE49-F238E27FC236}">
              <a16:creationId xmlns:a16="http://schemas.microsoft.com/office/drawing/2014/main" id="{028FE26C-D924-27DE-024B-716467C49A4A}"/>
            </a:ext>
          </a:extLst>
        </xdr:cNvPr>
        <xdr:cNvSpPr txBox="1"/>
      </xdr:nvSpPr>
      <xdr:spPr>
        <a:xfrm>
          <a:off x="7590994" y="691696"/>
          <a:ext cx="2236973" cy="809422"/>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5">
                  <a:lumMod val="40000"/>
                  <a:lumOff val="60000"/>
                </a:schemeClr>
              </a:solidFill>
              <a:latin typeface="Arial" panose="020B0604020202020204" pitchFamily="34" charset="0"/>
              <a:cs typeface="Arial" panose="020B0604020202020204" pitchFamily="34" charset="0"/>
            </a:rPr>
            <a:t>TOTAL REVENUE</a:t>
          </a:r>
          <a:endParaRPr lang="en-US" sz="1600" b="1">
            <a:solidFill>
              <a:schemeClr val="accent5">
                <a:lumMod val="40000"/>
                <a:lumOff val="60000"/>
              </a:schemeClr>
            </a:solidFill>
            <a:latin typeface="Arial" panose="020B0604020202020204" pitchFamily="34" charset="0"/>
            <a:cs typeface="Arial" panose="020B0604020202020204" pitchFamily="34" charset="0"/>
          </a:endParaRPr>
        </a:p>
        <a:p>
          <a:r>
            <a:rPr lang="en-US" sz="1100"/>
            <a:t>                               </a:t>
          </a:r>
        </a:p>
        <a:p>
          <a:r>
            <a:rPr lang="en-US" sz="1100"/>
            <a:t>                  </a:t>
          </a:r>
          <a:r>
            <a:rPr lang="en-US" sz="1100" baseline="0"/>
            <a:t>                  </a:t>
          </a:r>
          <a:endParaRPr lang="en-US" sz="1200">
            <a:solidFill>
              <a:schemeClr val="tx1"/>
            </a:solidFill>
            <a:latin typeface="Arial" panose="020B0604020202020204" pitchFamily="34" charset="0"/>
            <a:cs typeface="Arial" panose="020B0604020202020204" pitchFamily="34" charset="0"/>
          </a:endParaRPr>
        </a:p>
      </xdr:txBody>
    </xdr:sp>
    <xdr:clientData/>
  </xdr:twoCellAnchor>
  <xdr:twoCellAnchor>
    <xdr:from>
      <xdr:col>26</xdr:col>
      <xdr:colOff>542169</xdr:colOff>
      <xdr:row>3</xdr:row>
      <xdr:rowOff>186199</xdr:rowOff>
    </xdr:from>
    <xdr:to>
      <xdr:col>30</xdr:col>
      <xdr:colOff>303067</xdr:colOff>
      <xdr:row>7</xdr:row>
      <xdr:rowOff>28864</xdr:rowOff>
    </xdr:to>
    <xdr:sp macro="" textlink="">
      <xdr:nvSpPr>
        <xdr:cNvPr id="7" name="TextBox 6">
          <a:extLst>
            <a:ext uri="{FF2B5EF4-FFF2-40B4-BE49-F238E27FC236}">
              <a16:creationId xmlns:a16="http://schemas.microsoft.com/office/drawing/2014/main" id="{EE2E5A5B-A206-CED1-554E-2525C7F6CF73}"/>
            </a:ext>
          </a:extLst>
        </xdr:cNvPr>
        <xdr:cNvSpPr txBox="1"/>
      </xdr:nvSpPr>
      <xdr:spPr>
        <a:xfrm>
          <a:off x="13271033" y="749040"/>
          <a:ext cx="2185443" cy="593119"/>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5">
                  <a:lumMod val="40000"/>
                  <a:lumOff val="60000"/>
                </a:schemeClr>
              </a:solidFill>
              <a:latin typeface="Arial" panose="020B0604020202020204" pitchFamily="34" charset="0"/>
              <a:cs typeface="Arial" panose="020B0604020202020204" pitchFamily="34" charset="0"/>
            </a:rPr>
            <a:t>TOTAL</a:t>
          </a:r>
          <a:r>
            <a:rPr lang="en-US" sz="1600" b="1">
              <a:latin typeface="Arial" panose="020B0604020202020204" pitchFamily="34" charset="0"/>
              <a:cs typeface="Arial" panose="020B0604020202020204" pitchFamily="34" charset="0"/>
            </a:rPr>
            <a:t> </a:t>
          </a:r>
          <a:r>
            <a:rPr lang="en-US" sz="1600" b="1">
              <a:solidFill>
                <a:schemeClr val="accent5">
                  <a:lumMod val="40000"/>
                  <a:lumOff val="60000"/>
                </a:schemeClr>
              </a:solidFill>
              <a:latin typeface="Arial" panose="020B0604020202020204" pitchFamily="34" charset="0"/>
              <a:cs typeface="Arial" panose="020B0604020202020204" pitchFamily="34" charset="0"/>
            </a:rPr>
            <a:t>UNITS</a:t>
          </a:r>
          <a:r>
            <a:rPr lang="en-US" sz="1600" b="1">
              <a:latin typeface="Arial" panose="020B0604020202020204" pitchFamily="34" charset="0"/>
              <a:cs typeface="Arial" panose="020B0604020202020204" pitchFamily="34" charset="0"/>
            </a:rPr>
            <a:t> </a:t>
          </a:r>
          <a:r>
            <a:rPr lang="en-US" sz="1600" b="1">
              <a:solidFill>
                <a:schemeClr val="accent5">
                  <a:lumMod val="40000"/>
                  <a:lumOff val="60000"/>
                </a:schemeClr>
              </a:solidFill>
              <a:latin typeface="Arial" panose="020B0604020202020204" pitchFamily="34" charset="0"/>
              <a:cs typeface="Arial" panose="020B0604020202020204" pitchFamily="34" charset="0"/>
            </a:rPr>
            <a:t>SOLD</a:t>
          </a:r>
        </a:p>
        <a:p>
          <a:endParaRPr lang="en-US" sz="1100"/>
        </a:p>
        <a:p>
          <a:pPr algn="l"/>
          <a:r>
            <a:rPr lang="en-US" sz="1100"/>
            <a:t>                                                                     </a:t>
          </a:r>
          <a:endParaRPr lang="en-US" sz="1350" b="0" i="0" u="none">
            <a:solidFill>
              <a:schemeClr val="tx1"/>
            </a:solidFill>
            <a:latin typeface="Arial" panose="020B0604020202020204" pitchFamily="34" charset="0"/>
            <a:cs typeface="Arial" panose="020B0604020202020204" pitchFamily="34" charset="0"/>
          </a:endParaRPr>
        </a:p>
      </xdr:txBody>
    </xdr:sp>
    <xdr:clientData/>
  </xdr:twoCellAnchor>
  <xdr:twoCellAnchor>
    <xdr:from>
      <xdr:col>16</xdr:col>
      <xdr:colOff>365126</xdr:colOff>
      <xdr:row>8</xdr:row>
      <xdr:rowOff>169333</xdr:rowOff>
    </xdr:from>
    <xdr:to>
      <xdr:col>26</xdr:col>
      <xdr:colOff>166998</xdr:colOff>
      <xdr:row>27</xdr:row>
      <xdr:rowOff>111606</xdr:rowOff>
    </xdr:to>
    <xdr:graphicFrame macro="">
      <xdr:nvGraphicFramePr>
        <xdr:cNvPr id="8" name="Chart 7">
          <a:extLst>
            <a:ext uri="{FF2B5EF4-FFF2-40B4-BE49-F238E27FC236}">
              <a16:creationId xmlns:a16="http://schemas.microsoft.com/office/drawing/2014/main" id="{3D26E041-6441-4753-B00C-0E115F88D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351519</xdr:colOff>
      <xdr:row>28</xdr:row>
      <xdr:rowOff>27423</xdr:rowOff>
    </xdr:from>
    <xdr:to>
      <xdr:col>26</xdr:col>
      <xdr:colOff>152885</xdr:colOff>
      <xdr:row>46</xdr:row>
      <xdr:rowOff>150687</xdr:rowOff>
    </xdr:to>
    <xdr:graphicFrame macro="">
      <xdr:nvGraphicFramePr>
        <xdr:cNvPr id="11" name="Chart 10">
          <a:extLst>
            <a:ext uri="{FF2B5EF4-FFF2-40B4-BE49-F238E27FC236}">
              <a16:creationId xmlns:a16="http://schemas.microsoft.com/office/drawing/2014/main" id="{24EF4E3F-D709-496E-865A-C2C48B6252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420131</xdr:colOff>
      <xdr:row>7</xdr:row>
      <xdr:rowOff>108239</xdr:rowOff>
    </xdr:from>
    <xdr:to>
      <xdr:col>12</xdr:col>
      <xdr:colOff>41231</xdr:colOff>
      <xdr:row>17</xdr:row>
      <xdr:rowOff>85560</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1FFCC793-59C7-40F2-0C1D-AA883037971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32404" y="1421534"/>
              <a:ext cx="2651783" cy="18534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337880</xdr:colOff>
      <xdr:row>18</xdr:row>
      <xdr:rowOff>79375</xdr:rowOff>
    </xdr:from>
    <xdr:to>
      <xdr:col>16</xdr:col>
      <xdr:colOff>204106</xdr:colOff>
      <xdr:row>27</xdr:row>
      <xdr:rowOff>2872</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3BBE4A67-222C-16CA-90B1-ADEF4FF1514E}"/>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4605080" y="3508375"/>
              <a:ext cx="5352626" cy="17141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233217</xdr:colOff>
      <xdr:row>28</xdr:row>
      <xdr:rowOff>45358</xdr:rowOff>
    </xdr:from>
    <xdr:to>
      <xdr:col>16</xdr:col>
      <xdr:colOff>264390</xdr:colOff>
      <xdr:row>46</xdr:row>
      <xdr:rowOff>150688</xdr:rowOff>
    </xdr:to>
    <xdr:graphicFrame macro="">
      <xdr:nvGraphicFramePr>
        <xdr:cNvPr id="19" name="Chart 18">
          <a:extLst>
            <a:ext uri="{FF2B5EF4-FFF2-40B4-BE49-F238E27FC236}">
              <a16:creationId xmlns:a16="http://schemas.microsoft.com/office/drawing/2014/main" id="{95EA2DCB-72C0-2B8D-EAA2-A0BA5142B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90714</xdr:colOff>
      <xdr:row>7</xdr:row>
      <xdr:rowOff>90714</xdr:rowOff>
    </xdr:from>
    <xdr:to>
      <xdr:col>16</xdr:col>
      <xdr:colOff>204107</xdr:colOff>
      <xdr:row>17</xdr:row>
      <xdr:rowOff>68035</xdr:rowOff>
    </xdr:to>
    <mc:AlternateContent xmlns:mc="http://schemas.openxmlformats.org/markup-compatibility/2006" xmlns:a14="http://schemas.microsoft.com/office/drawing/2010/main">
      <mc:Choice Requires="a14">
        <xdr:graphicFrame macro="">
          <xdr:nvGraphicFramePr>
            <xdr:cNvPr id="16" name="Sales Rep">
              <a:extLst>
                <a:ext uri="{FF2B5EF4-FFF2-40B4-BE49-F238E27FC236}">
                  <a16:creationId xmlns:a16="http://schemas.microsoft.com/office/drawing/2014/main" id="{374FE0A0-DFE7-CAD9-427F-531F28E5EBDA}"/>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mlns="">
        <xdr:sp macro="" textlink="">
          <xdr:nvSpPr>
            <xdr:cNvPr id="0" name=""/>
            <xdr:cNvSpPr>
              <a:spLocks noTextEdit="1"/>
            </xdr:cNvSpPr>
          </xdr:nvSpPr>
          <xdr:spPr>
            <a:xfrm>
              <a:off x="7405914" y="1424214"/>
              <a:ext cx="2551793" cy="18823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357320</xdr:colOff>
      <xdr:row>28</xdr:row>
      <xdr:rowOff>64096</xdr:rowOff>
    </xdr:from>
    <xdr:to>
      <xdr:col>35</xdr:col>
      <xdr:colOff>388493</xdr:colOff>
      <xdr:row>46</xdr:row>
      <xdr:rowOff>165119</xdr:rowOff>
    </xdr:to>
    <xdr:graphicFrame macro="">
      <xdr:nvGraphicFramePr>
        <xdr:cNvPr id="22" name="Chart 21">
          <a:extLst>
            <a:ext uri="{FF2B5EF4-FFF2-40B4-BE49-F238E27FC236}">
              <a16:creationId xmlns:a16="http://schemas.microsoft.com/office/drawing/2014/main" id="{0871F12C-73C0-F7C1-E9BB-605A643D71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331935</xdr:colOff>
      <xdr:row>8</xdr:row>
      <xdr:rowOff>144318</xdr:rowOff>
    </xdr:from>
    <xdr:to>
      <xdr:col>35</xdr:col>
      <xdr:colOff>363108</xdr:colOff>
      <xdr:row>27</xdr:row>
      <xdr:rowOff>101023</xdr:rowOff>
    </xdr:to>
    <xdr:graphicFrame macro="">
      <xdr:nvGraphicFramePr>
        <xdr:cNvPr id="23" name="Chart 22">
          <a:extLst>
            <a:ext uri="{FF2B5EF4-FFF2-40B4-BE49-F238E27FC236}">
              <a16:creationId xmlns:a16="http://schemas.microsoft.com/office/drawing/2014/main" id="{48126004-7AF6-CAD6-5407-30E424A26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272143</xdr:colOff>
      <xdr:row>3</xdr:row>
      <xdr:rowOff>22678</xdr:rowOff>
    </xdr:from>
    <xdr:to>
      <xdr:col>16</xdr:col>
      <xdr:colOff>249463</xdr:colOff>
      <xdr:row>6</xdr:row>
      <xdr:rowOff>170090</xdr:rowOff>
    </xdr:to>
    <xdr:sp macro="" textlink="">
      <xdr:nvSpPr>
        <xdr:cNvPr id="30" name="TextBox 29">
          <a:extLst>
            <a:ext uri="{FF2B5EF4-FFF2-40B4-BE49-F238E27FC236}">
              <a16:creationId xmlns:a16="http://schemas.microsoft.com/office/drawing/2014/main" id="{A91E833D-B21E-320B-030D-C4425521D872}"/>
            </a:ext>
          </a:extLst>
        </xdr:cNvPr>
        <xdr:cNvSpPr txBox="1"/>
      </xdr:nvSpPr>
      <xdr:spPr>
        <a:xfrm>
          <a:off x="1496786" y="566964"/>
          <a:ext cx="5488213" cy="691697"/>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b="1">
            <a:solidFill>
              <a:schemeClr val="accent5">
                <a:lumMod val="40000"/>
                <a:lumOff val="60000"/>
              </a:schemeClr>
            </a:solidFill>
          </a:endParaRPr>
        </a:p>
        <a:p>
          <a:r>
            <a:rPr lang="en-US" sz="1600" b="1">
              <a:solidFill>
                <a:schemeClr val="accent5">
                  <a:lumMod val="40000"/>
                  <a:lumOff val="60000"/>
                </a:schemeClr>
              </a:solidFill>
            </a:rPr>
            <a:t>        Filter</a:t>
          </a:r>
          <a:r>
            <a:rPr lang="en-US" sz="1600" b="1" baseline="0">
              <a:solidFill>
                <a:schemeClr val="accent5">
                  <a:lumMod val="40000"/>
                  <a:lumOff val="60000"/>
                </a:schemeClr>
              </a:solidFill>
            </a:rPr>
            <a:t> by;  </a:t>
          </a:r>
          <a:r>
            <a:rPr lang="en-US" sz="1600" b="1" baseline="0">
              <a:solidFill>
                <a:schemeClr val="accent5">
                  <a:lumMod val="40000"/>
                  <a:lumOff val="60000"/>
                </a:schemeClr>
              </a:solidFill>
              <a:latin typeface="Agency FB" panose="020B0503020202020204" pitchFamily="34" charset="0"/>
            </a:rPr>
            <a:t>Region</a:t>
          </a:r>
          <a:r>
            <a:rPr lang="en-US" sz="1600" b="1" baseline="0">
              <a:solidFill>
                <a:schemeClr val="accent5">
                  <a:lumMod val="40000"/>
                  <a:lumOff val="60000"/>
                </a:schemeClr>
              </a:solidFill>
            </a:rPr>
            <a:t>, </a:t>
          </a:r>
          <a:r>
            <a:rPr lang="en-US" sz="1600" b="1" baseline="0">
              <a:solidFill>
                <a:schemeClr val="accent5">
                  <a:lumMod val="40000"/>
                  <a:lumOff val="60000"/>
                </a:schemeClr>
              </a:solidFill>
              <a:latin typeface="Agency FB" panose="020B0503020202020204" pitchFamily="34" charset="0"/>
            </a:rPr>
            <a:t>Sales Representative</a:t>
          </a:r>
          <a:r>
            <a:rPr lang="en-US" sz="1600" b="1" baseline="0">
              <a:solidFill>
                <a:schemeClr val="accent5">
                  <a:lumMod val="40000"/>
                  <a:lumOff val="60000"/>
                </a:schemeClr>
              </a:solidFill>
            </a:rPr>
            <a:t> or  </a:t>
          </a:r>
          <a:r>
            <a:rPr lang="en-US" sz="1600" b="1" baseline="0">
              <a:solidFill>
                <a:schemeClr val="accent5">
                  <a:lumMod val="40000"/>
                  <a:lumOff val="60000"/>
                </a:schemeClr>
              </a:solidFill>
              <a:latin typeface="Agency FB" panose="020B0503020202020204" pitchFamily="34" charset="0"/>
            </a:rPr>
            <a:t>Item Type</a:t>
          </a:r>
          <a:r>
            <a:rPr lang="en-US" sz="1600" b="1" baseline="0">
              <a:solidFill>
                <a:schemeClr val="accent5">
                  <a:lumMod val="40000"/>
                  <a:lumOff val="60000"/>
                </a:schemeClr>
              </a:solidFill>
            </a:rPr>
            <a:t>.</a:t>
          </a:r>
        </a:p>
        <a:p>
          <a:r>
            <a:rPr lang="en-US" sz="1400" b="1" baseline="0"/>
            <a:t>                                    </a:t>
          </a:r>
          <a:endParaRPr lang="en-US" sz="1600" b="1"/>
        </a:p>
      </xdr:txBody>
    </xdr:sp>
    <xdr:clientData/>
  </xdr:twoCellAnchor>
  <xdr:twoCellAnchor>
    <xdr:from>
      <xdr:col>22</xdr:col>
      <xdr:colOff>566965</xdr:colOff>
      <xdr:row>5</xdr:row>
      <xdr:rowOff>45357</xdr:rowOff>
    </xdr:from>
    <xdr:to>
      <xdr:col>26</xdr:col>
      <xdr:colOff>11339</xdr:colOff>
      <xdr:row>8</xdr:row>
      <xdr:rowOff>102053</xdr:rowOff>
    </xdr:to>
    <xdr:sp macro="" textlink="">
      <xdr:nvSpPr>
        <xdr:cNvPr id="31" name="TextBox 30">
          <a:extLst>
            <a:ext uri="{FF2B5EF4-FFF2-40B4-BE49-F238E27FC236}">
              <a16:creationId xmlns:a16="http://schemas.microsoft.com/office/drawing/2014/main" id="{AA384F7B-4EEA-3BFD-F61F-0A6C189E0202}"/>
            </a:ext>
          </a:extLst>
        </xdr:cNvPr>
        <xdr:cNvSpPr txBox="1"/>
      </xdr:nvSpPr>
      <xdr:spPr>
        <a:xfrm>
          <a:off x="10976429" y="952500"/>
          <a:ext cx="1893660" cy="600982"/>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pPr algn="ctr"/>
          <a:r>
            <a:rPr lang="en-US" sz="1800"/>
            <a:t> </a:t>
          </a:r>
          <a:r>
            <a:rPr lang="en-US" sz="2000" b="1">
              <a:solidFill>
                <a:schemeClr val="accent5">
                  <a:lumMod val="40000"/>
                  <a:lumOff val="60000"/>
                </a:schemeClr>
              </a:solidFill>
            </a:rPr>
            <a:t>$  17K</a:t>
          </a:r>
          <a:endParaRPr lang="en-US" sz="1800" b="1">
            <a:solidFill>
              <a:schemeClr val="accent5">
                <a:lumMod val="40000"/>
                <a:lumOff val="60000"/>
              </a:schemeClr>
            </a:solidFill>
          </a:endParaRPr>
        </a:p>
      </xdr:txBody>
    </xdr:sp>
    <xdr:clientData/>
  </xdr:twoCellAnchor>
  <xdr:twoCellAnchor>
    <xdr:from>
      <xdr:col>32</xdr:col>
      <xdr:colOff>521607</xdr:colOff>
      <xdr:row>3</xdr:row>
      <xdr:rowOff>170089</xdr:rowOff>
    </xdr:from>
    <xdr:to>
      <xdr:col>35</xdr:col>
      <xdr:colOff>192768</xdr:colOff>
      <xdr:row>7</xdr:row>
      <xdr:rowOff>158750</xdr:rowOff>
    </xdr:to>
    <xdr:sp macro="" textlink="">
      <xdr:nvSpPr>
        <xdr:cNvPr id="32" name="TextBox 31">
          <a:extLst>
            <a:ext uri="{FF2B5EF4-FFF2-40B4-BE49-F238E27FC236}">
              <a16:creationId xmlns:a16="http://schemas.microsoft.com/office/drawing/2014/main" id="{5841FB8F-3E61-7E8A-8437-10E60724B917}"/>
            </a:ext>
          </a:extLst>
        </xdr:cNvPr>
        <xdr:cNvSpPr txBox="1"/>
      </xdr:nvSpPr>
      <xdr:spPr>
        <a:xfrm>
          <a:off x="17054286" y="714375"/>
          <a:ext cx="1508125" cy="714375"/>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a:latin typeface="Arial" panose="020B0604020202020204" pitchFamily="34" charset="0"/>
            <a:cs typeface="Arial" panose="020B0604020202020204" pitchFamily="34" charset="0"/>
          </a:endParaRPr>
        </a:p>
        <a:p>
          <a:r>
            <a:rPr lang="en-US" sz="2000" b="1">
              <a:solidFill>
                <a:schemeClr val="accent5">
                  <a:lumMod val="40000"/>
                  <a:lumOff val="60000"/>
                </a:schemeClr>
              </a:solidFill>
              <a:latin typeface="Arial" panose="020B0604020202020204" pitchFamily="34" charset="0"/>
              <a:cs typeface="Arial" panose="020B0604020202020204" pitchFamily="34" charset="0"/>
            </a:rPr>
            <a:t>114</a:t>
          </a:r>
        </a:p>
      </xdr:txBody>
    </xdr:sp>
    <xdr:clientData/>
  </xdr:twoCellAnchor>
  <xdr:twoCellAnchor>
    <xdr:from>
      <xdr:col>2</xdr:col>
      <xdr:colOff>31127</xdr:colOff>
      <xdr:row>1</xdr:row>
      <xdr:rowOff>6226</xdr:rowOff>
    </xdr:from>
    <xdr:to>
      <xdr:col>4</xdr:col>
      <xdr:colOff>335471</xdr:colOff>
      <xdr:row>26</xdr:row>
      <xdr:rowOff>155755</xdr:rowOff>
    </xdr:to>
    <xdr:sp macro="" textlink="">
      <xdr:nvSpPr>
        <xdr:cNvPr id="2" name="Rectangle: Rounded Corners 1">
          <a:extLst>
            <a:ext uri="{FF2B5EF4-FFF2-40B4-BE49-F238E27FC236}">
              <a16:creationId xmlns:a16="http://schemas.microsoft.com/office/drawing/2014/main" id="{6781A0EC-85E2-4F5F-B9F8-61B7A93AE986}"/>
            </a:ext>
          </a:extLst>
        </xdr:cNvPr>
        <xdr:cNvSpPr/>
      </xdr:nvSpPr>
      <xdr:spPr>
        <a:xfrm>
          <a:off x="1253202" y="185943"/>
          <a:ext cx="1526420" cy="4726321"/>
        </a:xfrm>
        <a:prstGeom prst="roundRect">
          <a:avLst>
            <a:gd name="adj" fmla="val 0"/>
          </a:avLst>
        </a:prstGeom>
        <a:solidFill>
          <a:schemeClr val="tx2">
            <a:lumMod val="75000"/>
          </a:schemeClr>
        </a:solidFill>
        <a:ln>
          <a:solidFill>
            <a:schemeClr val="tx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55089</xdr:colOff>
      <xdr:row>4</xdr:row>
      <xdr:rowOff>121525</xdr:rowOff>
    </xdr:from>
    <xdr:to>
      <xdr:col>4</xdr:col>
      <xdr:colOff>167735</xdr:colOff>
      <xdr:row>6</xdr:row>
      <xdr:rowOff>143773</xdr:rowOff>
    </xdr:to>
    <xdr:sp macro="" textlink="">
      <xdr:nvSpPr>
        <xdr:cNvPr id="4" name="Rectangle 3">
          <a:hlinkClick xmlns:r="http://schemas.openxmlformats.org/officeDocument/2006/relationships" r:id="rId6"/>
          <a:extLst>
            <a:ext uri="{FF2B5EF4-FFF2-40B4-BE49-F238E27FC236}">
              <a16:creationId xmlns:a16="http://schemas.microsoft.com/office/drawing/2014/main" id="{80DF3C7C-89E7-4AB9-A246-85417FC4641D}"/>
            </a:ext>
          </a:extLst>
        </xdr:cNvPr>
        <xdr:cNvSpPr/>
      </xdr:nvSpPr>
      <xdr:spPr>
        <a:xfrm>
          <a:off x="55089" y="840393"/>
          <a:ext cx="1334721" cy="381682"/>
        </a:xfrm>
        <a:prstGeom prst="rect">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Raw</a:t>
          </a:r>
          <a:r>
            <a:rPr lang="en-US" sz="1800" baseline="0"/>
            <a:t> Data</a:t>
          </a:r>
          <a:endParaRPr lang="en-US" sz="1800"/>
        </a:p>
      </xdr:txBody>
    </xdr:sp>
    <xdr:clientData/>
  </xdr:twoCellAnchor>
  <xdr:twoCellAnchor>
    <xdr:from>
      <xdr:col>2</xdr:col>
      <xdr:colOff>71888</xdr:colOff>
      <xdr:row>12</xdr:row>
      <xdr:rowOff>175623</xdr:rowOff>
    </xdr:from>
    <xdr:to>
      <xdr:col>4</xdr:col>
      <xdr:colOff>143775</xdr:colOff>
      <xdr:row>15</xdr:row>
      <xdr:rowOff>67329</xdr:rowOff>
    </xdr:to>
    <xdr:sp macro="" textlink="">
      <xdr:nvSpPr>
        <xdr:cNvPr id="9" name="Rectangle 8">
          <a:hlinkClick xmlns:r="http://schemas.openxmlformats.org/officeDocument/2006/relationships" r:id="rId7"/>
          <a:extLst>
            <a:ext uri="{FF2B5EF4-FFF2-40B4-BE49-F238E27FC236}">
              <a16:creationId xmlns:a16="http://schemas.microsoft.com/office/drawing/2014/main" id="{3B49529A-1EC1-4ECC-9C8D-DFB2EEF99B09}"/>
            </a:ext>
          </a:extLst>
        </xdr:cNvPr>
        <xdr:cNvSpPr/>
      </xdr:nvSpPr>
      <xdr:spPr>
        <a:xfrm>
          <a:off x="71888" y="2332227"/>
          <a:ext cx="1293962" cy="430857"/>
        </a:xfrm>
        <a:prstGeom prst="rect">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PivotTables</a:t>
          </a:r>
        </a:p>
      </xdr:txBody>
    </xdr:sp>
    <xdr:clientData/>
  </xdr:twoCellAnchor>
  <xdr:twoCellAnchor>
    <xdr:from>
      <xdr:col>2</xdr:col>
      <xdr:colOff>23410</xdr:colOff>
      <xdr:row>21</xdr:row>
      <xdr:rowOff>99180</xdr:rowOff>
    </xdr:from>
    <xdr:to>
      <xdr:col>4</xdr:col>
      <xdr:colOff>203680</xdr:colOff>
      <xdr:row>23</xdr:row>
      <xdr:rowOff>47925</xdr:rowOff>
    </xdr:to>
    <xdr:sp macro="" textlink="">
      <xdr:nvSpPr>
        <xdr:cNvPr id="10" name="Rectangle 9">
          <a:hlinkClick xmlns:r="http://schemas.openxmlformats.org/officeDocument/2006/relationships" r:id="rId8"/>
          <a:extLst>
            <a:ext uri="{FF2B5EF4-FFF2-40B4-BE49-F238E27FC236}">
              <a16:creationId xmlns:a16="http://schemas.microsoft.com/office/drawing/2014/main" id="{AFCDE484-F902-471F-AE2F-0F8F491FBFD8}"/>
            </a:ext>
          </a:extLst>
        </xdr:cNvPr>
        <xdr:cNvSpPr/>
      </xdr:nvSpPr>
      <xdr:spPr>
        <a:xfrm>
          <a:off x="23410" y="3873237"/>
          <a:ext cx="1402345" cy="392046"/>
        </a:xfrm>
        <a:prstGeom prst="rect">
          <a:avLst/>
        </a:prstGeom>
        <a:solidFill>
          <a:schemeClr val="accent5">
            <a:lumMod val="75000"/>
          </a:schemeClr>
        </a:solidFill>
        <a:ln>
          <a:noFill/>
        </a:ln>
        <a:effectLst>
          <a:glow rad="228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Dashboard</a:t>
          </a:r>
        </a:p>
      </xdr:txBody>
    </xdr:sp>
    <xdr:clientData/>
  </xdr:twoCellAnchor>
  <xdr:twoCellAnchor>
    <xdr:from>
      <xdr:col>4</xdr:col>
      <xdr:colOff>155755</xdr:colOff>
      <xdr:row>1</xdr:row>
      <xdr:rowOff>0</xdr:rowOff>
    </xdr:from>
    <xdr:to>
      <xdr:col>4</xdr:col>
      <xdr:colOff>443302</xdr:colOff>
      <xdr:row>27</xdr:row>
      <xdr:rowOff>11982</xdr:rowOff>
    </xdr:to>
    <xdr:sp macro="" textlink="">
      <xdr:nvSpPr>
        <xdr:cNvPr id="12" name="Rectangle: Rounded Corners 11">
          <a:extLst>
            <a:ext uri="{FF2B5EF4-FFF2-40B4-BE49-F238E27FC236}">
              <a16:creationId xmlns:a16="http://schemas.microsoft.com/office/drawing/2014/main" id="{1596DA87-F588-4D52-8140-D3C867F20BD0}"/>
            </a:ext>
          </a:extLst>
        </xdr:cNvPr>
        <xdr:cNvSpPr/>
      </xdr:nvSpPr>
      <xdr:spPr>
        <a:xfrm>
          <a:off x="2599906" y="179717"/>
          <a:ext cx="287547" cy="4768491"/>
        </a:xfrm>
        <a:prstGeom prst="roundRect">
          <a:avLst>
            <a:gd name="adj" fmla="val 16667"/>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ic joe" refreshedDate="45958.652034722225" createdVersion="8" refreshedVersion="8" minRefreshableVersion="3" recordCount="15" xr:uid="{E51B1FC4-88D5-456D-B8DD-CF2165AD71E5}">
  <cacheSource type="worksheet">
    <worksheetSource name="Table2"/>
  </cacheSource>
  <cacheFields count="14">
    <cacheField name="Order ID" numFmtId="0">
      <sharedItems containsSemiMixedTypes="0" containsString="0" containsNumber="1" containsInteger="1" minValue="1001" maxValue="1015"/>
    </cacheField>
    <cacheField name="Order Date" numFmtId="14">
      <sharedItems containsSemiMixedTypes="0" containsNonDate="0" containsDate="1" containsString="0" minDate="2024-01-05T00:00:00" maxDate="2024-05-06T00:00:00" count="5">
        <d v="2024-01-05T00:00:00"/>
        <d v="2024-02-05T00:00:00"/>
        <d v="2024-03-05T00:00:00"/>
        <d v="2024-04-05T00:00:00"/>
        <d v="2024-05-05T00:00:00"/>
      </sharedItems>
      <fieldGroup par="13"/>
    </cacheField>
    <cacheField name="Region" numFmtId="0">
      <sharedItems count="4">
        <s v="East"/>
        <s v="West"/>
        <s v="Central"/>
        <s v="South"/>
      </sharedItems>
    </cacheField>
    <cacheField name="Sales Rep" numFmtId="0">
      <sharedItems count="3">
        <s v="Alice"/>
        <s v="Bob"/>
        <s v="Charles"/>
      </sharedItems>
    </cacheField>
    <cacheField name="Item Type" numFmtId="0">
      <sharedItems count="7">
        <s v="Laptop"/>
        <s v="Keyboard"/>
        <s v="Monitor"/>
        <s v="Mouse"/>
        <s v="Desk Lamp"/>
        <s v="Moniter" u="1"/>
        <s v="-" u="1"/>
      </sharedItems>
    </cacheField>
    <cacheField name="Units Sold" numFmtId="0">
      <sharedItems containsSemiMixedTypes="0" containsString="0" containsNumber="1" containsInteger="1" minValue="1" maxValue="20"/>
    </cacheField>
    <cacheField name="Unit Price" numFmtId="8">
      <sharedItems containsSemiMixedTypes="0" containsString="0" containsNumber="1" containsInteger="1" minValue="5" maxValue="1200"/>
    </cacheField>
    <cacheField name="Total Revenue" numFmtId="8">
      <sharedItems containsSemiMixedTypes="0" containsString="0" containsNumber="1" containsInteger="1" minValue="40" maxValue="3600"/>
    </cacheField>
    <cacheField name="Customer Name" numFmtId="0">
      <sharedItems/>
    </cacheField>
    <cacheField name="Shipping Status" numFmtId="0">
      <sharedItems count="3">
        <s v="Shipped"/>
        <s v="Pending"/>
        <s v="Delivered"/>
      </sharedItems>
    </cacheField>
    <cacheField name="Notes" numFmtId="0">
      <sharedItems/>
    </cacheField>
    <cacheField name="@" numFmtId="0">
      <sharedItems containsNonDate="0" containsString="0" containsBlank="1"/>
    </cacheField>
    <cacheField name="Days (Order Date)" numFmtId="0" databaseField="0">
      <fieldGroup base="1">
        <rangePr groupBy="days" startDate="2024-01-05T00:00:00" endDate="2024-05-06T00:00:00"/>
        <groupItems count="368">
          <s v="&lt;1/5/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5/6/2024"/>
        </groupItems>
      </fieldGroup>
    </cacheField>
    <cacheField name="Months (Order Date)" numFmtId="0" databaseField="0">
      <fieldGroup base="1">
        <rangePr groupBy="months" startDate="2024-01-05T00:00:00" endDate="2024-05-06T00:00:00"/>
        <groupItems count="14">
          <s v="&lt;1/5/2024"/>
          <s v="Jan"/>
          <s v="Feb"/>
          <s v="Mar"/>
          <s v="Apr"/>
          <s v="May"/>
          <s v="Jun"/>
          <s v="Jul"/>
          <s v="Aug"/>
          <s v="Sep"/>
          <s v="Oct"/>
          <s v="Nov"/>
          <s v="Dec"/>
          <s v="&gt;5/6/2024"/>
        </groupItems>
      </fieldGroup>
    </cacheField>
  </cacheFields>
  <extLst>
    <ext xmlns:x14="http://schemas.microsoft.com/office/spreadsheetml/2009/9/main" uri="{725AE2AE-9491-48be-B2B4-4EB974FC3084}">
      <x14:pivotCacheDefinition pivotCacheId="5578168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001"/>
    <x v="0"/>
    <x v="0"/>
    <x v="0"/>
    <x v="0"/>
    <n v="2"/>
    <n v="1200"/>
    <n v="2400"/>
    <s v="TechCorp"/>
    <x v="0"/>
    <s v="Fast Delivery"/>
    <m/>
  </r>
  <r>
    <n v="1002"/>
    <x v="0"/>
    <x v="1"/>
    <x v="1"/>
    <x v="1"/>
    <n v="10"/>
    <n v="50"/>
    <n v="500"/>
    <s v="Datadyne"/>
    <x v="1"/>
    <s v="Standard Ship."/>
    <m/>
  </r>
  <r>
    <n v="1003"/>
    <x v="0"/>
    <x v="0"/>
    <x v="0"/>
    <x v="2"/>
    <n v="5"/>
    <n v="300"/>
    <n v="1500"/>
    <s v="TechCorp"/>
    <x v="0"/>
    <s v="NULL"/>
    <m/>
  </r>
  <r>
    <n v="1004"/>
    <x v="1"/>
    <x v="2"/>
    <x v="2"/>
    <x v="3"/>
    <n v="15"/>
    <n v="25"/>
    <n v="375"/>
    <s v="Innovate Inc"/>
    <x v="2"/>
    <s v="Needs Follow Up"/>
    <m/>
  </r>
  <r>
    <n v="1005"/>
    <x v="1"/>
    <x v="0"/>
    <x v="0"/>
    <x v="0"/>
    <n v="3"/>
    <n v="1200"/>
    <n v="3600"/>
    <s v="TechCorp"/>
    <x v="0"/>
    <s v="Error in formula"/>
    <m/>
  </r>
  <r>
    <n v="1006"/>
    <x v="1"/>
    <x v="1"/>
    <x v="1"/>
    <x v="4"/>
    <n v="7"/>
    <n v="45"/>
    <n v="315"/>
    <s v="Datadyne"/>
    <x v="0"/>
    <s v="NULL"/>
    <m/>
  </r>
  <r>
    <n v="1007"/>
    <x v="2"/>
    <x v="2"/>
    <x v="2"/>
    <x v="0"/>
    <n v="1"/>
    <n v="1200"/>
    <n v="1200"/>
    <s v="Innovate Inc"/>
    <x v="1"/>
    <s v="Standard Ship."/>
    <m/>
  </r>
  <r>
    <n v="1008"/>
    <x v="2"/>
    <x v="1"/>
    <x v="1"/>
    <x v="1"/>
    <n v="20"/>
    <n v="50"/>
    <n v="1000"/>
    <s v="Datadyne"/>
    <x v="2"/>
    <s v="NULL"/>
    <m/>
  </r>
  <r>
    <n v="1009"/>
    <x v="2"/>
    <x v="0"/>
    <x v="0"/>
    <x v="2"/>
    <n v="4"/>
    <n v="300"/>
    <n v="1200"/>
    <s v="DataDrive"/>
    <x v="0"/>
    <s v="NULL"/>
    <m/>
  </r>
  <r>
    <n v="1010"/>
    <x v="3"/>
    <x v="3"/>
    <x v="2"/>
    <x v="3"/>
    <n v="12"/>
    <n v="25"/>
    <n v="300"/>
    <s v="Innovate Inc"/>
    <x v="0"/>
    <s v="NULL"/>
    <m/>
  </r>
  <r>
    <n v="1011"/>
    <x v="3"/>
    <x v="0"/>
    <x v="0"/>
    <x v="3"/>
    <n v="8"/>
    <n v="5"/>
    <n v="40"/>
    <s v="DataDrive"/>
    <x v="1"/>
    <s v="Small Item"/>
    <m/>
  </r>
  <r>
    <n v="1012"/>
    <x v="3"/>
    <x v="2"/>
    <x v="1"/>
    <x v="1"/>
    <n v="10"/>
    <n v="50"/>
    <n v="500"/>
    <s v="TechCorp"/>
    <x v="2"/>
    <s v="NULL"/>
    <m/>
  </r>
  <r>
    <n v="1013"/>
    <x v="4"/>
    <x v="1"/>
    <x v="1"/>
    <x v="2"/>
    <n v="6"/>
    <n v="300"/>
    <n v="1800"/>
    <s v="Datadyne"/>
    <x v="0"/>
    <s v="NULL"/>
    <m/>
  </r>
  <r>
    <n v="1014"/>
    <x v="4"/>
    <x v="0"/>
    <x v="0"/>
    <x v="0"/>
    <n v="2"/>
    <n v="1200"/>
    <n v="2400"/>
    <s v="TechCorp"/>
    <x v="2"/>
    <s v="NULL"/>
    <m/>
  </r>
  <r>
    <n v="1015"/>
    <x v="4"/>
    <x v="2"/>
    <x v="2"/>
    <x v="3"/>
    <n v="9"/>
    <n v="25"/>
    <n v="225"/>
    <s v="DataDrive"/>
    <x v="0"/>
    <s v="Large Order"/>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7AFDF4-EDEF-41BE-AA0D-B190BE8ABFCB}"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3:M7" firstHeaderRow="1" firstDataRow="1" firstDataCol="1"/>
  <pivotFields count="14">
    <pivotField showAll="0"/>
    <pivotField numFmtId="14" showAll="0">
      <items count="6">
        <item x="0"/>
        <item x="1"/>
        <item x="2"/>
        <item x="3"/>
        <item x="4"/>
        <item t="default"/>
      </items>
    </pivotField>
    <pivotField showAll="0">
      <items count="5">
        <item x="2"/>
        <item x="0"/>
        <item x="3"/>
        <item x="1"/>
        <item t="default"/>
      </items>
    </pivotField>
    <pivotField showAll="0">
      <items count="4">
        <item x="0"/>
        <item x="1"/>
        <item x="2"/>
        <item t="default"/>
      </items>
    </pivotField>
    <pivotField showAll="0">
      <items count="8">
        <item h="1" m="1" x="6"/>
        <item x="4"/>
        <item x="1"/>
        <item x="0"/>
        <item h="1" m="1" x="5"/>
        <item x="2"/>
        <item x="3"/>
        <item t="default"/>
      </items>
    </pivotField>
    <pivotField showAll="0"/>
    <pivotField numFmtId="8" showAll="0"/>
    <pivotField showAll="0"/>
    <pivotField showAll="0"/>
    <pivotField axis="axisRow" dataField="1"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4">
    <i>
      <x v="1"/>
    </i>
    <i>
      <x/>
    </i>
    <i>
      <x v="2"/>
    </i>
    <i t="grand">
      <x/>
    </i>
  </rowItems>
  <colItems count="1">
    <i/>
  </colItems>
  <dataFields count="1">
    <dataField name="Count of Shipping Status" fld="9" subtotal="count" baseField="0" baseItem="0"/>
  </dataFields>
  <chartFormats count="2">
    <chartFormat chart="5" format="5"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D8DD84-7F4B-45D5-BF41-CD123F991B46}"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11:I17" firstHeaderRow="1" firstDataRow="1" firstDataCol="1"/>
  <pivotFields count="14">
    <pivotField showAll="0"/>
    <pivotField axis="axisRow" numFmtId="14" showAll="0">
      <items count="6">
        <item x="0"/>
        <item x="1"/>
        <item x="2"/>
        <item x="3"/>
        <item x="4"/>
        <item t="default"/>
      </items>
    </pivotField>
    <pivotField showAll="0">
      <items count="5">
        <item x="2"/>
        <item x="0"/>
        <item x="3"/>
        <item x="1"/>
        <item t="default"/>
      </items>
    </pivotField>
    <pivotField showAll="0">
      <items count="4">
        <item x="0"/>
        <item x="1"/>
        <item x="2"/>
        <item t="default"/>
      </items>
    </pivotField>
    <pivotField showAll="0">
      <items count="8">
        <item h="1" m="1" x="6"/>
        <item x="4"/>
        <item x="1"/>
        <item x="0"/>
        <item h="1" m="1" x="5"/>
        <item x="2"/>
        <item x="3"/>
        <item t="default"/>
      </items>
    </pivotField>
    <pivotField showAll="0"/>
    <pivotField numFmtId="8" showAll="0"/>
    <pivotField dataField="1"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a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3">
    <field x="13"/>
    <field x="12"/>
    <field x="1"/>
  </rowFields>
  <rowItems count="6">
    <i>
      <x v="4"/>
    </i>
    <i>
      <x v="3"/>
    </i>
    <i>
      <x v="2"/>
    </i>
    <i>
      <x v="1"/>
    </i>
    <i>
      <x v="5"/>
    </i>
    <i t="grand">
      <x/>
    </i>
  </rowItems>
  <colItems count="1">
    <i/>
  </colItems>
  <dataFields count="1">
    <dataField name="Sum of Total Revenue" fld="7" baseField="0" baseItem="0" numFmtId="164"/>
  </dataFields>
  <formats count="5">
    <format dxfId="6">
      <pivotArea collapsedLevelsAreSubtotals="1" fieldPosition="0">
        <references count="1">
          <reference field="13" count="1">
            <x v="1"/>
          </reference>
        </references>
      </pivotArea>
    </format>
    <format dxfId="5">
      <pivotArea collapsedLevelsAreSubtotals="1" fieldPosition="0">
        <references count="1">
          <reference field="13" count="1">
            <x v="2"/>
          </reference>
        </references>
      </pivotArea>
    </format>
    <format dxfId="4">
      <pivotArea collapsedLevelsAreSubtotals="1" fieldPosition="0">
        <references count="1">
          <reference field="13" count="1">
            <x v="3"/>
          </reference>
        </references>
      </pivotArea>
    </format>
    <format dxfId="3">
      <pivotArea collapsedLevelsAreSubtotals="1" fieldPosition="0">
        <references count="1">
          <reference field="13" count="1">
            <x v="4"/>
          </reference>
        </references>
      </pivotArea>
    </format>
    <format dxfId="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6F6997-9290-4CA1-8D92-0C3A557F4BDA}"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3:I7" firstHeaderRow="1" firstDataRow="1" firstDataCol="1"/>
  <pivotFields count="14">
    <pivotField showAll="0"/>
    <pivotField numFmtId="14" showAll="0">
      <items count="6">
        <item x="0"/>
        <item x="1"/>
        <item x="2"/>
        <item x="3"/>
        <item x="4"/>
        <item t="default"/>
      </items>
    </pivotField>
    <pivotField showAll="0">
      <items count="5">
        <item x="2"/>
        <item x="0"/>
        <item x="3"/>
        <item x="1"/>
        <item t="default"/>
      </items>
    </pivotField>
    <pivotField axis="axisRow" showAll="0">
      <items count="4">
        <item x="0"/>
        <item x="1"/>
        <item x="2"/>
        <item t="default"/>
      </items>
    </pivotField>
    <pivotField showAll="0">
      <items count="8">
        <item h="1" m="1" x="6"/>
        <item x="4"/>
        <item x="1"/>
        <item x="0"/>
        <item h="1" m="1" x="5"/>
        <item x="2"/>
        <item x="3"/>
        <item t="default"/>
      </items>
    </pivotField>
    <pivotField showAll="0"/>
    <pivotField numFmtId="8"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Items count="1">
    <i/>
  </colItems>
  <dataFields count="1">
    <dataField name="Sum of Total Revenue" fld="7" baseField="0" baseItem="0"/>
  </dataFields>
  <formats count="1">
    <format dxfId="7">
      <pivotArea collapsedLevelsAreSubtotals="1" fieldPosition="0">
        <references count="1">
          <reference field="3" count="0"/>
        </references>
      </pivotArea>
    </format>
  </formats>
  <chartFormats count="4">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3" count="1" selected="0">
            <x v="0"/>
          </reference>
        </references>
      </pivotArea>
    </chartFormat>
    <chartFormat chart="4" format="14">
      <pivotArea type="data" outline="0" fieldPosition="0">
        <references count="2">
          <reference field="4294967294" count="1" selected="0">
            <x v="0"/>
          </reference>
          <reference field="3" count="1" selected="0">
            <x v="1"/>
          </reference>
        </references>
      </pivotArea>
    </chartFormat>
    <chartFormat chart="4" format="15">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3C28C3-8DDA-4852-A6BA-EFB3B1B383B4}"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0:E16" firstHeaderRow="1" firstDataRow="1" firstDataCol="1"/>
  <pivotFields count="14">
    <pivotField showAll="0"/>
    <pivotField numFmtId="14" showAll="0">
      <items count="6">
        <item x="0"/>
        <item x="1"/>
        <item x="2"/>
        <item x="3"/>
        <item x="4"/>
        <item t="default"/>
      </items>
    </pivotField>
    <pivotField showAll="0">
      <items count="5">
        <item x="2"/>
        <item x="0"/>
        <item x="3"/>
        <item x="1"/>
        <item t="default"/>
      </items>
    </pivotField>
    <pivotField showAll="0">
      <items count="4">
        <item x="0"/>
        <item x="1"/>
        <item x="2"/>
        <item t="default"/>
      </items>
    </pivotField>
    <pivotField axis="axisRow" showAll="0" sortType="ascending">
      <items count="8">
        <item h="1" m="1" x="6"/>
        <item x="4"/>
        <item x="1"/>
        <item x="0"/>
        <item h="1" m="1" x="5"/>
        <item x="2"/>
        <item x="3"/>
        <item t="default"/>
      </items>
      <autoSortScope>
        <pivotArea dataOnly="0" outline="0" fieldPosition="0">
          <references count="1">
            <reference field="4294967294" count="1" selected="0">
              <x v="0"/>
            </reference>
          </references>
        </pivotArea>
      </autoSortScope>
    </pivotField>
    <pivotField dataField="1" showAll="0"/>
    <pivotField numFmtId="8"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v="1"/>
    </i>
    <i>
      <x v="3"/>
    </i>
    <i>
      <x v="5"/>
    </i>
    <i>
      <x v="2"/>
    </i>
    <i>
      <x v="6"/>
    </i>
    <i t="grand">
      <x/>
    </i>
  </rowItems>
  <colItems count="1">
    <i/>
  </colItems>
  <dataFields count="1">
    <dataField name="Sum of Units Sold" fld="5"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21CE84-8704-4F3C-8A0B-8A73D63C0634}"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2:E7" firstHeaderRow="1" firstDataRow="1" firstDataCol="1"/>
  <pivotFields count="14">
    <pivotField showAll="0"/>
    <pivotField numFmtId="14" showAll="0">
      <items count="6">
        <item x="0"/>
        <item x="1"/>
        <item x="2"/>
        <item x="3"/>
        <item x="4"/>
        <item t="default"/>
      </items>
    </pivotField>
    <pivotField axis="axisRow" showAll="0" sortType="ascending">
      <items count="5">
        <item x="2"/>
        <item x="0"/>
        <item x="3"/>
        <item x="1"/>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items count="8">
        <item h="1" m="1" x="6"/>
        <item x="4"/>
        <item x="1"/>
        <item x="0"/>
        <item h="1" m="1" x="5"/>
        <item x="2"/>
        <item x="3"/>
        <item t="default"/>
      </items>
    </pivotField>
    <pivotField showAll="0"/>
    <pivotField numFmtId="8"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v="2"/>
    </i>
    <i>
      <x/>
    </i>
    <i>
      <x v="3"/>
    </i>
    <i>
      <x v="1"/>
    </i>
    <i t="grand">
      <x/>
    </i>
  </rowItems>
  <colItems count="1">
    <i/>
  </colItems>
  <dataFields count="1">
    <dataField name="Sum of Total Revenue" fld="7" baseField="0" baseItem="0" numFmtId="164"/>
  </dataFields>
  <formats count="1">
    <format dxfId="8">
      <pivotArea outline="0" collapsedLevelsAreSubtotals="1" fieldPosition="0"/>
    </format>
  </format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6B6FEEB-C4D7-4B2D-93F6-590544C8CDC1}" sourceName="Region">
  <pivotTables>
    <pivotTable tabId="4" name="PivotTable1"/>
    <pivotTable tabId="4" name="PivotTable2"/>
    <pivotTable tabId="4" name="PivotTable3"/>
    <pivotTable tabId="4" name="PivotTable4"/>
    <pivotTable tabId="4" name="PivotTable5"/>
  </pivotTables>
  <data>
    <tabular pivotCacheId="557816821">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7228627A-97A1-496B-9B44-5038DB2A947E}" sourceName="Item Type">
  <pivotTables>
    <pivotTable tabId="4" name="PivotTable2"/>
    <pivotTable tabId="4" name="PivotTable1"/>
    <pivotTable tabId="4" name="PivotTable3"/>
    <pivotTable tabId="4" name="PivotTable4"/>
    <pivotTable tabId="4" name="PivotTable5"/>
  </pivotTables>
  <data>
    <tabular pivotCacheId="557816821" showMissing="0" crossFilter="none">
      <items count="7">
        <i x="4" s="1"/>
        <i x="1" s="1"/>
        <i x="0" s="1"/>
        <i x="2" s="1"/>
        <i x="3" s="1"/>
        <i x="6"/>
        <i x="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2F1FAC5D-2F89-437F-8B85-AEA497D4C12A}" sourceName="Sales Rep">
  <pivotTables>
    <pivotTable tabId="4" name="PivotTable3"/>
    <pivotTable tabId="4" name="PivotTable1"/>
    <pivotTable tabId="4" name="PivotTable2"/>
    <pivotTable tabId="4" name="PivotTable4"/>
    <pivotTable tabId="4" name="PivotTable5"/>
  </pivotTables>
  <data>
    <tabular pivotCacheId="55781682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7D2E9CC-BC5B-483F-BC61-4F84DE08B9E6}" cache="Slicer_Region" caption="Region" columnCount="2" showCaption="0" rowHeight="640080"/>
  <slicer name="Item Type" xr10:uid="{BE6C43EC-433D-4C91-BBDC-D3B6B2387479}" cache="Slicer_Item_Type" caption="Item Type" columnCount="3" showCaption="0" rowHeight="612648"/>
  <slicer name="Sales Rep" xr10:uid="{1F0ECD6C-9A0A-4D65-B870-E21838EEB7C3}" cache="Slicer_Sales_Rep" caption="Sales Rep" columnCount="2" showCaption="0" rowHeight="6400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8262DCA-8DEB-4BB9-B7F1-9202FAA223A1}" name="Table2" displayName="Table2" ref="D1:O17" totalsRowCount="1" headerRowDxfId="37" dataDxfId="35" headerRowBorderDxfId="36" tableBorderDxfId="34" totalsRowBorderDxfId="33">
  <autoFilter ref="D1:O16" xr:uid="{18262DCA-8DEB-4BB9-B7F1-9202FAA223A1}"/>
  <tableColumns count="12">
    <tableColumn id="1" xr3:uid="{5AD926C1-75F8-41D8-9DAD-95C9116634AC}" name="Order ID" dataDxfId="32" totalsRowDxfId="31"/>
    <tableColumn id="2" xr3:uid="{23A1F82D-2DD4-4273-A117-8D0465BA617D}" name="Order Date" dataDxfId="30" totalsRowDxfId="29"/>
    <tableColumn id="3" xr3:uid="{28E039F3-86F1-4E3A-9F71-62333456DB85}" name="Region" dataDxfId="28" totalsRowDxfId="27"/>
    <tableColumn id="4" xr3:uid="{9CF4ED0F-9159-4E8E-9335-60A0F5FD0C46}" name="Sales Rep" dataDxfId="26" totalsRowDxfId="25"/>
    <tableColumn id="5" xr3:uid="{D0780375-CC7C-44DF-80CF-ECDA7DCD8499}" name="Item Type" dataDxfId="24" totalsRowDxfId="23"/>
    <tableColumn id="6" xr3:uid="{6AAA22C4-5FBE-4852-9B8C-62AB7BC4BDCD}" name="Units Sold" totalsRowFunction="custom" dataDxfId="22" totalsRowDxfId="21">
      <totalsRowFormula>SUM(Table2[Units Sold])</totalsRowFormula>
    </tableColumn>
    <tableColumn id="7" xr3:uid="{A1F3AD28-42F2-4603-9AB4-AC0E2AF4FADE}" name="Unit Price" dataDxfId="20" totalsRowDxfId="19"/>
    <tableColumn id="8" xr3:uid="{30BBECB4-CE4E-49F9-88F9-E5049FA3DEA7}" name="Total Revenue" totalsRowFunction="custom" dataDxfId="18" totalsRowDxfId="17">
      <totalsRowFormula>SUM(Table2[Total Revenue])</totalsRowFormula>
    </tableColumn>
    <tableColumn id="9" xr3:uid="{576304FC-29E9-4027-9D35-BA606FD20135}" name="Customer Name" dataDxfId="16" totalsRowDxfId="15"/>
    <tableColumn id="10" xr3:uid="{FD6B39BF-9C39-4923-ADFE-386AFC17DD69}" name="Shipping Status" dataDxfId="14" totalsRowDxfId="13"/>
    <tableColumn id="11" xr3:uid="{D0E50659-60D1-481A-AA26-EA7D29127E9E}" name="Notes" dataDxfId="12" totalsRowDxfId="11"/>
    <tableColumn id="12" xr3:uid="{66941A69-76CC-45FE-B13A-4B85CB99AC2F}" name="@" dataDxfId="10" totalsRowDxf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485C0-6105-4982-B888-DB8666EA0BC3}">
  <dimension ref="D1:O17"/>
  <sheetViews>
    <sheetView zoomScaleNormal="100" workbookViewId="0"/>
  </sheetViews>
  <sheetFormatPr defaultRowHeight="14.5" x14ac:dyDescent="0.35"/>
  <cols>
    <col min="4" max="4" width="10.08984375" customWidth="1"/>
    <col min="5" max="5" width="12.26953125" customWidth="1"/>
    <col min="6" max="6" width="8.81640625" customWidth="1"/>
    <col min="7" max="7" width="13.08984375" customWidth="1"/>
    <col min="8" max="8" width="11.26953125" customWidth="1"/>
    <col min="9" max="9" width="11.6328125" customWidth="1"/>
    <col min="10" max="10" width="11.1796875" customWidth="1"/>
    <col min="11" max="11" width="15.1796875" customWidth="1"/>
    <col min="12" max="12" width="16.54296875" customWidth="1"/>
    <col min="13" max="13" width="16.453125" customWidth="1"/>
  </cols>
  <sheetData>
    <row r="1" spans="4:15" ht="15" thickBot="1" x14ac:dyDescent="0.4">
      <c r="D1" s="8" t="s">
        <v>0</v>
      </c>
      <c r="E1" s="9" t="s">
        <v>1</v>
      </c>
      <c r="F1" s="9" t="s">
        <v>2</v>
      </c>
      <c r="G1" s="9" t="s">
        <v>3</v>
      </c>
      <c r="H1" s="9" t="s">
        <v>4</v>
      </c>
      <c r="I1" s="9" t="s">
        <v>5</v>
      </c>
      <c r="J1" s="9" t="s">
        <v>6</v>
      </c>
      <c r="K1" s="9" t="s">
        <v>7</v>
      </c>
      <c r="L1" s="9" t="s">
        <v>8</v>
      </c>
      <c r="M1" s="9" t="s">
        <v>9</v>
      </c>
      <c r="N1" s="9" t="s">
        <v>10</v>
      </c>
      <c r="O1" s="10" t="s">
        <v>36</v>
      </c>
    </row>
    <row r="2" spans="4:15" ht="26.5" thickBot="1" x14ac:dyDescent="0.4">
      <c r="D2" s="6">
        <v>1001</v>
      </c>
      <c r="E2" s="3">
        <v>45296</v>
      </c>
      <c r="F2" s="1" t="s">
        <v>11</v>
      </c>
      <c r="G2" t="str" cm="1">
        <f t="array" aca="1" ref="G2" ca="1">PROPER(Table2[Sales Rep])</f>
        <v>Alice</v>
      </c>
      <c r="H2" s="1" t="s">
        <v>13</v>
      </c>
      <c r="I2" s="2">
        <v>2</v>
      </c>
      <c r="J2" s="4">
        <v>1200</v>
      </c>
      <c r="K2" s="4">
        <v>2400</v>
      </c>
      <c r="L2" s="1" t="s">
        <v>14</v>
      </c>
      <c r="M2" s="1" t="s">
        <v>15</v>
      </c>
      <c r="N2" s="1" t="s">
        <v>16</v>
      </c>
      <c r="O2" s="7"/>
    </row>
    <row r="3" spans="4:15" ht="26.5" thickBot="1" x14ac:dyDescent="0.4">
      <c r="D3" s="6">
        <v>1002</v>
      </c>
      <c r="E3" s="3">
        <v>45296</v>
      </c>
      <c r="F3" s="1" t="s">
        <v>17</v>
      </c>
      <c r="G3" t="s">
        <v>18</v>
      </c>
      <c r="H3" s="1" t="s">
        <v>19</v>
      </c>
      <c r="I3" s="2">
        <v>10</v>
      </c>
      <c r="J3" s="4">
        <v>50</v>
      </c>
      <c r="K3" s="4">
        <v>500</v>
      </c>
      <c r="L3" s="1" t="s">
        <v>20</v>
      </c>
      <c r="M3" s="1" t="s">
        <v>21</v>
      </c>
      <c r="N3" s="1" t="s">
        <v>22</v>
      </c>
      <c r="O3" s="7"/>
    </row>
    <row r="4" spans="4:15" ht="15" thickBot="1" x14ac:dyDescent="0.4">
      <c r="D4" s="6">
        <v>1003</v>
      </c>
      <c r="E4" s="3">
        <v>45296</v>
      </c>
      <c r="F4" s="1" t="s">
        <v>11</v>
      </c>
      <c r="G4" t="s">
        <v>12</v>
      </c>
      <c r="H4" s="1" t="s">
        <v>23</v>
      </c>
      <c r="I4" s="2">
        <v>5</v>
      </c>
      <c r="J4" s="4">
        <v>300</v>
      </c>
      <c r="K4" s="4">
        <v>1500</v>
      </c>
      <c r="L4" s="1" t="s">
        <v>14</v>
      </c>
      <c r="M4" s="1" t="s">
        <v>15</v>
      </c>
      <c r="N4" s="1" t="s">
        <v>37</v>
      </c>
      <c r="O4" s="7"/>
    </row>
    <row r="5" spans="4:15" ht="15" thickBot="1" x14ac:dyDescent="0.4">
      <c r="D5" s="6">
        <v>1004</v>
      </c>
      <c r="E5" s="3">
        <v>45327</v>
      </c>
      <c r="F5" s="1" t="s">
        <v>24</v>
      </c>
      <c r="G5" t="s">
        <v>25</v>
      </c>
      <c r="H5" s="1" t="s">
        <v>26</v>
      </c>
      <c r="I5" s="2">
        <v>15</v>
      </c>
      <c r="J5" s="4">
        <v>25</v>
      </c>
      <c r="K5" s="4">
        <v>375</v>
      </c>
      <c r="L5" s="1" t="s">
        <v>27</v>
      </c>
      <c r="M5" s="1" t="s">
        <v>28</v>
      </c>
      <c r="N5" s="5" t="s">
        <v>29</v>
      </c>
      <c r="O5" s="7"/>
    </row>
    <row r="6" spans="4:15" ht="26.5" thickBot="1" x14ac:dyDescent="0.4">
      <c r="D6" s="6">
        <v>1005</v>
      </c>
      <c r="E6" s="3">
        <v>45327</v>
      </c>
      <c r="F6" s="1" t="s">
        <v>11</v>
      </c>
      <c r="G6" t="s">
        <v>12</v>
      </c>
      <c r="H6" s="1" t="s">
        <v>13</v>
      </c>
      <c r="I6" s="2">
        <v>3</v>
      </c>
      <c r="J6" s="4">
        <v>1200</v>
      </c>
      <c r="K6" s="4">
        <v>3600</v>
      </c>
      <c r="L6" s="1" t="s">
        <v>14</v>
      </c>
      <c r="M6" s="1" t="s">
        <v>15</v>
      </c>
      <c r="N6" s="1" t="s">
        <v>30</v>
      </c>
      <c r="O6" s="7"/>
    </row>
    <row r="7" spans="4:15" ht="15" thickBot="1" x14ac:dyDescent="0.4">
      <c r="D7" s="6">
        <v>1006</v>
      </c>
      <c r="E7" s="3">
        <v>45327</v>
      </c>
      <c r="F7" s="1" t="s">
        <v>17</v>
      </c>
      <c r="G7" t="s">
        <v>18</v>
      </c>
      <c r="H7" s="1" t="s">
        <v>31</v>
      </c>
      <c r="I7" s="2">
        <v>7</v>
      </c>
      <c r="J7" s="4">
        <v>45</v>
      </c>
      <c r="K7" s="18">
        <f>Table2[[#This Row],[Unit Price]]*Table2[[#This Row],[Units Sold]]</f>
        <v>315</v>
      </c>
      <c r="L7" s="1" t="s">
        <v>20</v>
      </c>
      <c r="M7" s="1" t="s">
        <v>15</v>
      </c>
      <c r="N7" s="1" t="s">
        <v>37</v>
      </c>
      <c r="O7" s="7"/>
    </row>
    <row r="8" spans="4:15" ht="26.5" thickBot="1" x14ac:dyDescent="0.4">
      <c r="D8" s="6">
        <v>1007</v>
      </c>
      <c r="E8" s="3">
        <v>45356</v>
      </c>
      <c r="F8" s="1" t="s">
        <v>24</v>
      </c>
      <c r="G8" t="s">
        <v>25</v>
      </c>
      <c r="H8" s="1" t="s">
        <v>13</v>
      </c>
      <c r="I8" s="2">
        <v>1</v>
      </c>
      <c r="J8" s="4">
        <v>1200</v>
      </c>
      <c r="K8" s="4">
        <v>1200</v>
      </c>
      <c r="L8" s="1" t="s">
        <v>27</v>
      </c>
      <c r="M8" s="1" t="s">
        <v>21</v>
      </c>
      <c r="N8" s="1" t="s">
        <v>22</v>
      </c>
      <c r="O8" s="7"/>
    </row>
    <row r="9" spans="4:15" ht="15" thickBot="1" x14ac:dyDescent="0.4">
      <c r="D9" s="6">
        <v>1008</v>
      </c>
      <c r="E9" s="3">
        <v>45356</v>
      </c>
      <c r="F9" s="1" t="s">
        <v>17</v>
      </c>
      <c r="G9" t="s">
        <v>18</v>
      </c>
      <c r="H9" s="1" t="s">
        <v>19</v>
      </c>
      <c r="I9" s="2">
        <v>20</v>
      </c>
      <c r="J9" s="4">
        <v>50</v>
      </c>
      <c r="K9" s="4">
        <v>1000</v>
      </c>
      <c r="L9" s="1" t="s">
        <v>20</v>
      </c>
      <c r="M9" s="1" t="s">
        <v>28</v>
      </c>
      <c r="N9" s="1" t="s">
        <v>37</v>
      </c>
      <c r="O9" s="7"/>
    </row>
    <row r="10" spans="4:15" ht="15" thickBot="1" x14ac:dyDescent="0.4">
      <c r="D10" s="6">
        <v>1009</v>
      </c>
      <c r="E10" s="3">
        <v>45356</v>
      </c>
      <c r="F10" s="1" t="s">
        <v>11</v>
      </c>
      <c r="G10" t="s">
        <v>12</v>
      </c>
      <c r="H10" s="1" t="s">
        <v>23</v>
      </c>
      <c r="I10" s="2">
        <v>4</v>
      </c>
      <c r="J10" s="4">
        <v>300</v>
      </c>
      <c r="K10" s="4">
        <v>1200</v>
      </c>
      <c r="L10" s="1" t="s">
        <v>32</v>
      </c>
      <c r="M10" s="1" t="s">
        <v>15</v>
      </c>
      <c r="N10" s="1" t="s">
        <v>37</v>
      </c>
      <c r="O10" s="7"/>
    </row>
    <row r="11" spans="4:15" ht="15" thickBot="1" x14ac:dyDescent="0.4">
      <c r="D11" s="6">
        <v>1010</v>
      </c>
      <c r="E11" s="3">
        <v>45387</v>
      </c>
      <c r="F11" s="1" t="s">
        <v>33</v>
      </c>
      <c r="G11" t="s">
        <v>25</v>
      </c>
      <c r="H11" s="1" t="s">
        <v>26</v>
      </c>
      <c r="I11" s="2">
        <v>12</v>
      </c>
      <c r="J11" s="4">
        <v>25</v>
      </c>
      <c r="K11" s="4">
        <v>300</v>
      </c>
      <c r="L11" s="1" t="s">
        <v>27</v>
      </c>
      <c r="M11" s="1" t="s">
        <v>15</v>
      </c>
      <c r="N11" s="1" t="s">
        <v>37</v>
      </c>
      <c r="O11" s="7"/>
    </row>
    <row r="12" spans="4:15" ht="26.5" thickBot="1" x14ac:dyDescent="0.4">
      <c r="D12" s="6">
        <v>1011</v>
      </c>
      <c r="E12" s="3">
        <v>45387</v>
      </c>
      <c r="F12" s="1" t="s">
        <v>11</v>
      </c>
      <c r="G12" t="s">
        <v>12</v>
      </c>
      <c r="H12" s="1" t="s">
        <v>26</v>
      </c>
      <c r="I12" s="2">
        <v>8</v>
      </c>
      <c r="J12" s="4">
        <v>5</v>
      </c>
      <c r="K12" s="4">
        <v>40</v>
      </c>
      <c r="L12" s="1" t="s">
        <v>32</v>
      </c>
      <c r="M12" s="1" t="s">
        <v>21</v>
      </c>
      <c r="N12" s="1" t="s">
        <v>34</v>
      </c>
      <c r="O12" s="7"/>
    </row>
    <row r="13" spans="4:15" ht="15" thickBot="1" x14ac:dyDescent="0.4">
      <c r="D13" s="6">
        <v>1012</v>
      </c>
      <c r="E13" s="3">
        <v>45387</v>
      </c>
      <c r="F13" s="1" t="s">
        <v>24</v>
      </c>
      <c r="G13" t="s">
        <v>18</v>
      </c>
      <c r="H13" s="1" t="s">
        <v>19</v>
      </c>
      <c r="I13" s="2">
        <v>10</v>
      </c>
      <c r="J13" s="4">
        <v>50</v>
      </c>
      <c r="K13" s="4">
        <v>500</v>
      </c>
      <c r="L13" s="1" t="s">
        <v>14</v>
      </c>
      <c r="M13" s="1" t="s">
        <v>28</v>
      </c>
      <c r="N13" s="1" t="s">
        <v>37</v>
      </c>
      <c r="O13" s="7"/>
    </row>
    <row r="14" spans="4:15" ht="15" thickBot="1" x14ac:dyDescent="0.4">
      <c r="D14" s="6">
        <v>1013</v>
      </c>
      <c r="E14" s="3">
        <v>45417</v>
      </c>
      <c r="F14" s="1" t="s">
        <v>17</v>
      </c>
      <c r="G14" t="s">
        <v>18</v>
      </c>
      <c r="H14" s="1" t="s">
        <v>23</v>
      </c>
      <c r="I14" s="2">
        <v>6</v>
      </c>
      <c r="J14" s="4">
        <v>300</v>
      </c>
      <c r="K14" s="4">
        <f>Table2[[#This Row],[Unit Price]]*Table2[[#This Row],[Units Sold]]</f>
        <v>1800</v>
      </c>
      <c r="L14" s="1" t="s">
        <v>20</v>
      </c>
      <c r="M14" s="1" t="s">
        <v>15</v>
      </c>
      <c r="N14" s="1" t="s">
        <v>37</v>
      </c>
      <c r="O14" s="7"/>
    </row>
    <row r="15" spans="4:15" ht="15" thickBot="1" x14ac:dyDescent="0.4">
      <c r="D15" s="6">
        <v>1014</v>
      </c>
      <c r="E15" s="3">
        <v>45417</v>
      </c>
      <c r="F15" s="1" t="s">
        <v>11</v>
      </c>
      <c r="G15" t="s">
        <v>12</v>
      </c>
      <c r="H15" s="1" t="s">
        <v>13</v>
      </c>
      <c r="I15" s="2">
        <v>2</v>
      </c>
      <c r="J15" s="4">
        <v>1200</v>
      </c>
      <c r="K15" s="4">
        <v>2400</v>
      </c>
      <c r="L15" s="1" t="s">
        <v>14</v>
      </c>
      <c r="M15" s="1" t="s">
        <v>28</v>
      </c>
      <c r="N15" s="1" t="s">
        <v>37</v>
      </c>
      <c r="O15" s="7"/>
    </row>
    <row r="16" spans="4:15" ht="26.5" thickBot="1" x14ac:dyDescent="0.4">
      <c r="D16" s="11">
        <v>1015</v>
      </c>
      <c r="E16" s="12">
        <v>45417</v>
      </c>
      <c r="F16" s="13" t="s">
        <v>24</v>
      </c>
      <c r="G16" t="s">
        <v>25</v>
      </c>
      <c r="H16" s="13" t="s">
        <v>26</v>
      </c>
      <c r="I16" s="14">
        <v>9</v>
      </c>
      <c r="J16" s="15">
        <v>25</v>
      </c>
      <c r="K16" s="17">
        <f>Table2[[#This Row],[Unit Price]]*Table2[[#This Row],[Units Sold]]</f>
        <v>225</v>
      </c>
      <c r="L16" s="13" t="s">
        <v>32</v>
      </c>
      <c r="M16" s="13" t="s">
        <v>15</v>
      </c>
      <c r="N16" s="13" t="s">
        <v>35</v>
      </c>
      <c r="O16" s="16"/>
    </row>
    <row r="17" spans="4:15" x14ac:dyDescent="0.35">
      <c r="D17" s="11"/>
      <c r="E17" s="12"/>
      <c r="F17" s="13"/>
      <c r="G17" s="13"/>
      <c r="H17" s="13"/>
      <c r="I17" s="14">
        <f>SUM(Table2[Units Sold])</f>
        <v>114</v>
      </c>
      <c r="J17" s="15"/>
      <c r="K17" s="15">
        <f>SUM(Table2[Total Revenue])</f>
        <v>17355</v>
      </c>
      <c r="L17" s="13"/>
      <c r="M17" s="13"/>
      <c r="N17" s="13"/>
      <c r="O17" s="16"/>
    </row>
  </sheetData>
  <conditionalFormatting sqref="N2:N15">
    <cfRule type="containsText" dxfId="1" priority="2" operator="containsText" text="                                   ">
      <formula>NOT(ISERROR(SEARCH("                                   ",N2)))</formula>
    </cfRule>
  </conditionalFormatting>
  <conditionalFormatting sqref="N2:N16">
    <cfRule type="cellIs" dxfId="0" priority="1" operator="equal">
      <formula>"NULL"</formula>
    </cfRule>
  </conditionalFormatting>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A017A-79B0-4D6D-BC18-EE81E550E083}">
  <dimension ref="D1:M17"/>
  <sheetViews>
    <sheetView zoomScaleNormal="100" workbookViewId="0"/>
  </sheetViews>
  <sheetFormatPr defaultRowHeight="14.5" x14ac:dyDescent="0.35"/>
  <cols>
    <col min="4" max="4" width="12.36328125" bestFit="1" customWidth="1"/>
    <col min="5" max="5" width="19.1796875" bestFit="1" customWidth="1"/>
    <col min="6" max="6" width="15.26953125" bestFit="1" customWidth="1"/>
    <col min="7" max="7" width="10.7265625" bestFit="1" customWidth="1"/>
    <col min="8" max="8" width="12.36328125" bestFit="1" customWidth="1"/>
    <col min="9" max="9" width="19.1796875" bestFit="1" customWidth="1"/>
    <col min="12" max="12" width="12.36328125" bestFit="1" customWidth="1"/>
    <col min="13" max="13" width="21.6328125" bestFit="1" customWidth="1"/>
  </cols>
  <sheetData>
    <row r="1" spans="4:13" x14ac:dyDescent="0.35">
      <c r="D1" s="24" t="s">
        <v>41</v>
      </c>
      <c r="E1" s="24"/>
    </row>
    <row r="2" spans="4:13" x14ac:dyDescent="0.35">
      <c r="D2" s="19" t="s">
        <v>39</v>
      </c>
      <c r="E2" t="s">
        <v>38</v>
      </c>
      <c r="H2" s="24" t="s">
        <v>44</v>
      </c>
      <c r="I2" s="24"/>
      <c r="L2" s="25" t="s">
        <v>48</v>
      </c>
      <c r="M2" s="25"/>
    </row>
    <row r="3" spans="4:13" x14ac:dyDescent="0.35">
      <c r="D3" s="20" t="s">
        <v>33</v>
      </c>
      <c r="E3" s="21">
        <v>300</v>
      </c>
      <c r="H3" s="19" t="s">
        <v>39</v>
      </c>
      <c r="I3" t="s">
        <v>38</v>
      </c>
      <c r="L3" s="19" t="s">
        <v>39</v>
      </c>
      <c r="M3" t="s">
        <v>47</v>
      </c>
    </row>
    <row r="4" spans="4:13" x14ac:dyDescent="0.35">
      <c r="D4" s="20" t="s">
        <v>24</v>
      </c>
      <c r="E4" s="21">
        <v>2300</v>
      </c>
      <c r="H4" s="20" t="s">
        <v>12</v>
      </c>
      <c r="I4" s="21">
        <v>11140</v>
      </c>
      <c r="L4" s="20" t="s">
        <v>21</v>
      </c>
      <c r="M4">
        <v>3</v>
      </c>
    </row>
    <row r="5" spans="4:13" x14ac:dyDescent="0.35">
      <c r="D5" s="20" t="s">
        <v>17</v>
      </c>
      <c r="E5" s="21">
        <v>3615</v>
      </c>
      <c r="H5" s="20" t="s">
        <v>18</v>
      </c>
      <c r="I5" s="21">
        <v>4115</v>
      </c>
      <c r="L5" s="20" t="s">
        <v>28</v>
      </c>
      <c r="M5">
        <v>4</v>
      </c>
    </row>
    <row r="6" spans="4:13" x14ac:dyDescent="0.35">
      <c r="D6" s="20" t="s">
        <v>11</v>
      </c>
      <c r="E6" s="21">
        <v>11140</v>
      </c>
      <c r="H6" s="20" t="s">
        <v>25</v>
      </c>
      <c r="I6" s="21">
        <v>2100</v>
      </c>
      <c r="L6" s="20" t="s">
        <v>15</v>
      </c>
      <c r="M6">
        <v>8</v>
      </c>
    </row>
    <row r="7" spans="4:13" x14ac:dyDescent="0.35">
      <c r="D7" s="20" t="s">
        <v>40</v>
      </c>
      <c r="E7" s="21">
        <v>17355</v>
      </c>
      <c r="H7" s="20" t="s">
        <v>40</v>
      </c>
      <c r="I7">
        <v>17355</v>
      </c>
      <c r="L7" s="20" t="s">
        <v>40</v>
      </c>
      <c r="M7">
        <v>15</v>
      </c>
    </row>
    <row r="9" spans="4:13" x14ac:dyDescent="0.35">
      <c r="D9" s="24" t="s">
        <v>43</v>
      </c>
      <c r="E9" s="24"/>
    </row>
    <row r="10" spans="4:13" x14ac:dyDescent="0.35">
      <c r="D10" s="19" t="s">
        <v>39</v>
      </c>
      <c r="E10" t="s">
        <v>42</v>
      </c>
      <c r="H10" s="24" t="s">
        <v>46</v>
      </c>
      <c r="I10" s="24"/>
    </row>
    <row r="11" spans="4:13" x14ac:dyDescent="0.35">
      <c r="D11" s="20" t="s">
        <v>31</v>
      </c>
      <c r="E11">
        <v>7</v>
      </c>
      <c r="H11" s="19" t="s">
        <v>39</v>
      </c>
      <c r="I11" t="s">
        <v>38</v>
      </c>
    </row>
    <row r="12" spans="4:13" x14ac:dyDescent="0.35">
      <c r="D12" s="20" t="s">
        <v>13</v>
      </c>
      <c r="E12">
        <v>8</v>
      </c>
      <c r="H12" s="20" t="s">
        <v>49</v>
      </c>
      <c r="I12" s="21">
        <v>840</v>
      </c>
    </row>
    <row r="13" spans="4:13" x14ac:dyDescent="0.35">
      <c r="D13" s="20" t="s">
        <v>23</v>
      </c>
      <c r="E13">
        <v>15</v>
      </c>
      <c r="H13" s="20" t="s">
        <v>50</v>
      </c>
      <c r="I13" s="21">
        <v>3400</v>
      </c>
    </row>
    <row r="14" spans="4:13" x14ac:dyDescent="0.35">
      <c r="D14" s="20" t="s">
        <v>19</v>
      </c>
      <c r="E14">
        <v>40</v>
      </c>
      <c r="H14" s="20" t="s">
        <v>45</v>
      </c>
      <c r="I14" s="21">
        <v>4290</v>
      </c>
    </row>
    <row r="15" spans="4:13" x14ac:dyDescent="0.35">
      <c r="D15" s="20" t="s">
        <v>26</v>
      </c>
      <c r="E15">
        <v>44</v>
      </c>
      <c r="H15" s="20" t="s">
        <v>51</v>
      </c>
      <c r="I15" s="21">
        <v>4400</v>
      </c>
    </row>
    <row r="16" spans="4:13" x14ac:dyDescent="0.35">
      <c r="D16" s="20" t="s">
        <v>40</v>
      </c>
      <c r="E16">
        <v>114</v>
      </c>
      <c r="H16" s="20" t="s">
        <v>52</v>
      </c>
      <c r="I16" s="21">
        <v>4425</v>
      </c>
    </row>
    <row r="17" spans="8:9" x14ac:dyDescent="0.35">
      <c r="H17" s="20" t="s">
        <v>40</v>
      </c>
      <c r="I17" s="21">
        <v>17355</v>
      </c>
    </row>
  </sheetData>
  <mergeCells count="5">
    <mergeCell ref="D1:E1"/>
    <mergeCell ref="D9:E9"/>
    <mergeCell ref="H2:I2"/>
    <mergeCell ref="H10:I10"/>
    <mergeCell ref="L2:M2"/>
  </mergeCells>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1AE3E-5308-4354-AEF4-714EB355751F}">
  <dimension ref="H3:AJ48"/>
  <sheetViews>
    <sheetView tabSelected="1" zoomScale="50" zoomScaleNormal="50" workbookViewId="0">
      <selection activeCell="AK17" sqref="AK17"/>
    </sheetView>
  </sheetViews>
  <sheetFormatPr defaultRowHeight="14.5" x14ac:dyDescent="0.35"/>
  <cols>
    <col min="1" max="16384" width="8.7265625" style="22"/>
  </cols>
  <sheetData>
    <row r="3" spans="8:36" x14ac:dyDescent="0.35">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row>
    <row r="4" spans="8:36" x14ac:dyDescent="0.35">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row>
    <row r="5" spans="8:36" x14ac:dyDescent="0.35">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row>
    <row r="6" spans="8:36" x14ac:dyDescent="0.35">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row>
    <row r="7" spans="8:36" x14ac:dyDescent="0.35">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row>
    <row r="8" spans="8:36" x14ac:dyDescent="0.35">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row>
    <row r="9" spans="8:36" x14ac:dyDescent="0.35">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row>
    <row r="10" spans="8:36" x14ac:dyDescent="0.35">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row>
    <row r="11" spans="8:36" x14ac:dyDescent="0.35">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row>
    <row r="12" spans="8:36" x14ac:dyDescent="0.35">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row>
    <row r="13" spans="8:36" x14ac:dyDescent="0.35">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row>
    <row r="14" spans="8:36" x14ac:dyDescent="0.35">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row>
    <row r="15" spans="8:36" x14ac:dyDescent="0.35">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row>
    <row r="16" spans="8:36" x14ac:dyDescent="0.35">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row>
    <row r="17" spans="8:36" x14ac:dyDescent="0.35">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row>
    <row r="18" spans="8:36" x14ac:dyDescent="0.35">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row>
    <row r="19" spans="8:36" x14ac:dyDescent="0.35">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row>
    <row r="20" spans="8:36" x14ac:dyDescent="0.35">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row>
    <row r="21" spans="8:36" x14ac:dyDescent="0.35">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row>
    <row r="22" spans="8:36" x14ac:dyDescent="0.35">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row>
    <row r="23" spans="8:36" ht="21" customHeight="1" x14ac:dyDescent="0.35">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row>
    <row r="24" spans="8:36" x14ac:dyDescent="0.35">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row>
    <row r="25" spans="8:36" x14ac:dyDescent="0.35">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row>
    <row r="26" spans="8:36" x14ac:dyDescent="0.35">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row>
    <row r="27" spans="8:36" x14ac:dyDescent="0.35">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row>
    <row r="28" spans="8:36" x14ac:dyDescent="0.35">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row>
    <row r="29" spans="8:36" x14ac:dyDescent="0.35">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row>
    <row r="30" spans="8:36" x14ac:dyDescent="0.35">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row>
    <row r="31" spans="8:36" x14ac:dyDescent="0.35">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row>
    <row r="32" spans="8:36" x14ac:dyDescent="0.35">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row>
    <row r="33" spans="8:36" x14ac:dyDescent="0.35">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row>
    <row r="34" spans="8:36" x14ac:dyDescent="0.35">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row>
    <row r="35" spans="8:36" x14ac:dyDescent="0.35">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row>
    <row r="36" spans="8:36" x14ac:dyDescent="0.35">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row>
    <row r="37" spans="8:36" x14ac:dyDescent="0.35">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row>
    <row r="38" spans="8:36" x14ac:dyDescent="0.35">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row>
    <row r="39" spans="8:36" x14ac:dyDescent="0.35">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row>
    <row r="40" spans="8:36" x14ac:dyDescent="0.35">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row>
    <row r="41" spans="8:36" x14ac:dyDescent="0.35">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row>
    <row r="42" spans="8:36" x14ac:dyDescent="0.35">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row>
    <row r="43" spans="8:36" x14ac:dyDescent="0.35">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row>
    <row r="44" spans="8:36" x14ac:dyDescent="0.35">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row>
    <row r="45" spans="8:36" x14ac:dyDescent="0.35">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row>
    <row r="46" spans="8:36" x14ac:dyDescent="0.35">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row>
    <row r="47" spans="8:36" x14ac:dyDescent="0.35">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row>
    <row r="48" spans="8:36" x14ac:dyDescent="0.35">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row>
  </sheetData>
  <sheetProtection selectLockedCells="1"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41AB326-5532-408A-9F64-55861B3A6C4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RawData</vt:lpstr>
      <vt:lpstr>PivotTables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G.K</dc:creator>
  <cp:lastModifiedBy>Eric G.K</cp:lastModifiedBy>
  <dcterms:created xsi:type="dcterms:W3CDTF">2025-10-28T09:26:18Z</dcterms:created>
  <dcterms:modified xsi:type="dcterms:W3CDTF">2026-01-07T18:21:46Z</dcterms:modified>
</cp:coreProperties>
</file>